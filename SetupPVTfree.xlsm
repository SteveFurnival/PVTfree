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4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5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6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7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Steve\PVTfree\"/>
    </mc:Choice>
  </mc:AlternateContent>
  <xr:revisionPtr revIDLastSave="0" documentId="13_ncr:1_{76E805D1-0E30-4868-AB02-A5671FC343EA}" xr6:coauthVersionLast="43" xr6:coauthVersionMax="43" xr10:uidLastSave="{00000000-0000-0000-0000-000000000000}"/>
  <bookViews>
    <workbookView xWindow="2580" yWindow="0" windowWidth="17145" windowHeight="15390" activeTab="1" xr2:uid="{00000000-000D-0000-FFFF-FFFF00000000}"/>
  </bookViews>
  <sheets>
    <sheet name="Master" sheetId="1" r:id="rId1"/>
    <sheet name="Exp-Sum" sheetId="222" r:id="rId2"/>
    <sheet name="OIL-DLE-1" sheetId="224" r:id="rId3"/>
    <sheet name="OIL-CCE-1" sheetId="223" r:id="rId4"/>
    <sheet name="OIL-SEP-1" sheetId="225" r:id="rId5"/>
    <sheet name="OIL-SEP-2" sheetId="226" r:id="rId6"/>
    <sheet name="OIL-DLE-2" sheetId="228" r:id="rId7"/>
    <sheet name="Samp-Sum" sheetId="219" r:id="rId8"/>
    <sheet name="OIL" sheetId="220" r:id="rId9"/>
    <sheet name="srfwork" sheetId="22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" i="220" l="1"/>
  <c r="D57" i="221"/>
</calcChain>
</file>

<file path=xl/sharedStrings.xml><?xml version="1.0" encoding="utf-8"?>
<sst xmlns="http://schemas.openxmlformats.org/spreadsheetml/2006/main" count="378" uniqueCount="191">
  <si>
    <t>WARNING</t>
  </si>
  <si>
    <t>This buton removes all Worksheets and Data from this Workbook</t>
  </si>
  <si>
    <t>Only use if you are Copying a previous Workbook and Clearing Data for New Model</t>
  </si>
  <si>
    <r>
      <t xml:space="preserve">Setup </t>
    </r>
    <r>
      <rPr>
        <b/>
        <i/>
        <sz val="16"/>
        <color theme="1"/>
        <rFont val="Calibri"/>
        <family val="2"/>
        <scheme val="minor"/>
      </rPr>
      <t>PVTfree</t>
    </r>
    <r>
      <rPr>
        <b/>
        <sz val="16"/>
        <color theme="1"/>
        <rFont val="Calibri"/>
        <family val="2"/>
        <scheme val="minor"/>
      </rPr>
      <t xml:space="preserve"> Input Files</t>
    </r>
  </si>
  <si>
    <t>Add a New Sample</t>
  </si>
  <si>
    <t>Sample</t>
  </si>
  <si>
    <t>C7+ Mole Weight</t>
  </si>
  <si>
    <t>C7+ Specific Gravity</t>
  </si>
  <si>
    <t>Component Names</t>
  </si>
  <si>
    <t>Moles</t>
  </si>
  <si>
    <t>Hydrogen</t>
  </si>
  <si>
    <t>Nitrogen</t>
  </si>
  <si>
    <t>Methane</t>
  </si>
  <si>
    <t>Ethane</t>
  </si>
  <si>
    <t>Propane</t>
  </si>
  <si>
    <t>i-Butane</t>
  </si>
  <si>
    <t>n-Butane</t>
  </si>
  <si>
    <t>i-Pentane</t>
  </si>
  <si>
    <t>n-Pentane</t>
  </si>
  <si>
    <t>Hexanes</t>
  </si>
  <si>
    <t>Benzene</t>
  </si>
  <si>
    <t>Heptanes</t>
  </si>
  <si>
    <t>Toluene</t>
  </si>
  <si>
    <t>Octanes</t>
  </si>
  <si>
    <t>Nonanes</t>
  </si>
  <si>
    <t>Decanes</t>
  </si>
  <si>
    <t>Undecanes</t>
  </si>
  <si>
    <t>Dodecanes</t>
  </si>
  <si>
    <t>Tridecanes</t>
  </si>
  <si>
    <t>Tetradecanes</t>
  </si>
  <si>
    <t>Pentadecanes</t>
  </si>
  <si>
    <t>Hexadecanes</t>
  </si>
  <si>
    <t>Heptadecanes</t>
  </si>
  <si>
    <t>Octadecanes</t>
  </si>
  <si>
    <t>Nonadecanes</t>
  </si>
  <si>
    <t>Eicosanes</t>
  </si>
  <si>
    <t>Heneicosanes</t>
  </si>
  <si>
    <t>Docosanes</t>
  </si>
  <si>
    <t>Tricosanes</t>
  </si>
  <si>
    <t>Tetracosanes</t>
  </si>
  <si>
    <t>Pentacosanes</t>
  </si>
  <si>
    <t>Hexacosanes</t>
  </si>
  <si>
    <t>Heptacosanes</t>
  </si>
  <si>
    <t>Octacosanes</t>
  </si>
  <si>
    <t>Nonacosanes</t>
  </si>
  <si>
    <t>Triacontanes</t>
  </si>
  <si>
    <t>Hentriacontanes</t>
  </si>
  <si>
    <t>Dotriacontanes</t>
  </si>
  <si>
    <t>Tritriacontanes</t>
  </si>
  <si>
    <t>Tetratriacontanes</t>
  </si>
  <si>
    <t>Pentatriacontanes</t>
  </si>
  <si>
    <t>Name</t>
  </si>
  <si>
    <t>N2</t>
  </si>
  <si>
    <t>CO2</t>
  </si>
  <si>
    <t>C1</t>
  </si>
  <si>
    <t>C2</t>
  </si>
  <si>
    <t>C3</t>
  </si>
  <si>
    <t>iC4</t>
  </si>
  <si>
    <t>nC4</t>
  </si>
  <si>
    <t>iC5</t>
  </si>
  <si>
    <t>nC5</t>
  </si>
  <si>
    <t>C6</t>
  </si>
  <si>
    <t>C7</t>
  </si>
  <si>
    <t>C8</t>
  </si>
  <si>
    <t>C9</t>
  </si>
  <si>
    <t>C10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</si>
  <si>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</si>
  <si>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</si>
  <si>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</si>
  <si>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</si>
  <si>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</si>
  <si>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</si>
  <si>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</si>
  <si>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</si>
  <si>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</si>
  <si>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</si>
  <si>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</si>
  <si>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</si>
  <si>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</si>
  <si>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</si>
  <si>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</si>
  <si>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</si>
  <si>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</si>
  <si>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</si>
  <si>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</si>
  <si>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</si>
  <si>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</si>
  <si>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</si>
  <si>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</si>
  <si>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</si>
  <si>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</si>
  <si>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C36+</t>
  </si>
  <si>
    <t>Equation of State</t>
  </si>
  <si>
    <t>PR</t>
  </si>
  <si>
    <t>Number Pseudo-Comps</t>
  </si>
  <si>
    <t>SAMPLES</t>
  </si>
  <si>
    <t>MW</t>
  </si>
  <si>
    <t>SG</t>
  </si>
  <si>
    <t>ALPHA</t>
  </si>
  <si>
    <t>Choice is PR (Peng-Robinson) or Soave-Redlich-Kwong (SRK): Default is PR</t>
  </si>
  <si>
    <t>Number Samples</t>
  </si>
  <si>
    <t>H2S</t>
  </si>
  <si>
    <t>IC4</t>
  </si>
  <si>
    <t>NC4</t>
  </si>
  <si>
    <t>IC5</t>
  </si>
  <si>
    <t>NC5</t>
  </si>
  <si>
    <t>C7+</t>
  </si>
  <si>
    <t>Add a New Experiment</t>
  </si>
  <si>
    <t>Experiment</t>
  </si>
  <si>
    <t>Reservoir Temp</t>
  </si>
  <si>
    <t>Pressure</t>
  </si>
  <si>
    <t>Units</t>
  </si>
  <si>
    <t>Plot</t>
  </si>
  <si>
    <t>Weights</t>
  </si>
  <si>
    <t>SLIQ</t>
  </si>
  <si>
    <t>ZFAC</t>
  </si>
  <si>
    <t>DENO</t>
  </si>
  <si>
    <t>Do Not Change the Text Above</t>
  </si>
  <si>
    <t>It Will Change Automatically When Data Is OK</t>
  </si>
  <si>
    <t>PSAT?</t>
  </si>
  <si>
    <t>Constant Composition Expansion</t>
  </si>
  <si>
    <t>RELV</t>
  </si>
  <si>
    <t>VISG</t>
  </si>
  <si>
    <t>VISO</t>
  </si>
  <si>
    <t>Exp</t>
  </si>
  <si>
    <t>Number</t>
  </si>
  <si>
    <t>Type</t>
  </si>
  <si>
    <t>Checked?</t>
  </si>
  <si>
    <t>Active?</t>
  </si>
  <si>
    <t>OK</t>
  </si>
  <si>
    <t>D:\Steve\PVTfree\PVTfree.py</t>
  </si>
  <si>
    <t>Location</t>
  </si>
  <si>
    <t>Worksheet</t>
  </si>
  <si>
    <t>CCE</t>
  </si>
  <si>
    <t>YES</t>
  </si>
  <si>
    <t>Should be Integer N &gt;= 2: Default is 3</t>
  </si>
  <si>
    <t>Don't Change This Value - Updated Automatically</t>
  </si>
  <si>
    <t>OIL</t>
  </si>
  <si>
    <t>Neo-Pentane</t>
  </si>
  <si>
    <t>M-C-Pentane</t>
  </si>
  <si>
    <t>Cyclohexane</t>
  </si>
  <si>
    <t>M-C-Hexane</t>
  </si>
  <si>
    <t>E-Benzene</t>
  </si>
  <si>
    <t>M/P-Xylene</t>
  </si>
  <si>
    <t>O-Xylene</t>
  </si>
  <si>
    <t>1,2,4-TMB</t>
  </si>
  <si>
    <t>Heptdecanes</t>
  </si>
  <si>
    <t>Hexatriacontanes Plus</t>
  </si>
  <si>
    <t>Hydrogen Sulphide</t>
  </si>
  <si>
    <t>Carbon Dioxide</t>
  </si>
  <si>
    <t>Spelling!!</t>
  </si>
  <si>
    <t>Pres</t>
  </si>
  <si>
    <t>psig</t>
  </si>
  <si>
    <t>Rel Vol</t>
  </si>
  <si>
    <t>dim</t>
  </si>
  <si>
    <t>Oil Dens</t>
  </si>
  <si>
    <t>gm/cm3</t>
  </si>
  <si>
    <t>GOR</t>
  </si>
  <si>
    <t>svf/stb</t>
  </si>
  <si>
    <t>Bo</t>
  </si>
  <si>
    <t>rb/stb</t>
  </si>
  <si>
    <t>BT</t>
  </si>
  <si>
    <t>gm/sm3</t>
  </si>
  <si>
    <t>Gas Zfac</t>
  </si>
  <si>
    <t>Gas FVF</t>
  </si>
  <si>
    <t>Gas Grav</t>
  </si>
  <si>
    <t>???</t>
  </si>
  <si>
    <t>Oil Visc</t>
  </si>
  <si>
    <t>cP</t>
  </si>
  <si>
    <t>Tres</t>
  </si>
  <si>
    <t>degF</t>
  </si>
  <si>
    <t>scf/stb</t>
  </si>
  <si>
    <t>OIL-CCE-1</t>
  </si>
  <si>
    <t>DLE</t>
  </si>
  <si>
    <t>OIL-DLE-1</t>
  </si>
  <si>
    <t>Differential Liberation</t>
  </si>
  <si>
    <t xml:space="preserve">BO  </t>
  </si>
  <si>
    <t xml:space="preserve">GOR </t>
  </si>
  <si>
    <t xml:space="preserve">BT  </t>
  </si>
  <si>
    <t xml:space="preserve">BG  </t>
  </si>
  <si>
    <t>GGRV</t>
  </si>
  <si>
    <t>SEP</t>
  </si>
  <si>
    <t>OIL-SEP-1</t>
  </si>
  <si>
    <t>Separator Test</t>
  </si>
  <si>
    <t>Stage</t>
  </si>
  <si>
    <t>Temp</t>
  </si>
  <si>
    <t>PSAT</t>
  </si>
  <si>
    <t>Lsep</t>
  </si>
  <si>
    <t>Vsep</t>
  </si>
  <si>
    <t>OIL-SEP-2</t>
  </si>
  <si>
    <t>OIL-DLE-2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</si>
</sst>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0.000"/>
    <numFmt numFmtId="166" formatCode="0.0000"/>
    <numFmt numFmtId="169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1" fillId="3" borderId="2" xfId="0" applyFont="1" applyFill="1" applyBorder="1"/>
    <xf numFmtId="2" fontId="1" fillId="3" borderId="2" xfId="0" applyNumberFormat="1" applyFont="1" applyFill="1" applyBorder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1" fillId="5" borderId="2" xfId="0" applyFont="1" applyFill="1" applyBorder="1"/>
    <xf numFmtId="2" fontId="1" fillId="5" borderId="2" xfId="0" applyNumberFormat="1" applyFont="1" applyFill="1" applyBorder="1"/>
    <xf numFmtId="0" fontId="1" fillId="6" borderId="2" xfId="0" applyFont="1" applyFill="1" applyBorder="1"/>
    <xf numFmtId="0" fontId="1" fillId="7" borderId="2" xfId="0" applyFont="1" applyFill="1" applyBorder="1"/>
    <xf numFmtId="165" fontId="1" fillId="7" borderId="2" xfId="0" applyNumberFormat="1" applyFont="1" applyFill="1" applyBorder="1"/>
    <xf numFmtId="0" fontId="1" fillId="8" borderId="2" xfId="0" applyFont="1" applyFill="1" applyBorder="1"/>
    <xf numFmtId="0" fontId="1" fillId="9" borderId="2" xfId="0" applyFont="1" applyFill="1" applyBorder="1"/>
    <xf numFmtId="0" fontId="1" fillId="10" borderId="3" xfId="0" applyFont="1" applyFill="1" applyBorder="1"/>
    <xf numFmtId="0" fontId="1" fillId="10" borderId="4" xfId="0" applyFont="1" applyFill="1" applyBorder="1"/>
    <xf numFmtId="0" fontId="0" fillId="10" borderId="4" xfId="0" applyFill="1" applyBorder="1"/>
    <xf numFmtId="0" fontId="0" fillId="10" borderId="5" xfId="0" applyFill="1" applyBorder="1"/>
    <xf numFmtId="169" fontId="0" fillId="0" borderId="0" xfId="0" applyNumberFormat="1"/>
    <xf numFmtId="0" fontId="0" fillId="4" borderId="0" xfId="0" applyFill="1"/>
    <xf numFmtId="17" fontId="0" fillId="0" borderId="0" xfId="0" applyNumberFormat="1"/>
    <xf numFmtId="0" fontId="1" fillId="11" borderId="2" xfId="0" applyFont="1" applyFill="1" applyBorder="1"/>
    <xf numFmtId="166" fontId="1" fillId="7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2.xml><?xml version="1.0" encoding="utf-8"?>
<formControlPr xmlns="http://schemas.microsoft.com/office/spreadsheetml/2009/9/main" objectType="Drop" dropLines="2" dropStyle="combo" dx="22" noThreeD="1" sel="2" val="0">
  <itemLst>
    <item val=""/>
    <item val="Yes"/>
  </itemLst>
</formControlPr>
</file>

<file path=xl/ctrlProps/ctrlProp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2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53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54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55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56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57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58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59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60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1.xml><?xml version="1.0" encoding="utf-8"?>
<formControlPr xmlns="http://schemas.microsoft.com/office/spreadsheetml/2009/9/main" objectType="Drop" dropLines="4" dropStyle="combo" dx="22" noThreeD="1" sel="1" val="0">
  <itemLst>
    <item val="rb/Mscf"/>
    <item val="rb/scf"/>
    <item val="rm3/ksm3"/>
    <item val="rm3/sm3"/>
  </itemLst>
</formControlPr>
</file>

<file path=xl/ctrlProps/ctrlProp62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3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64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5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66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7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68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9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7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2.xml><?xml version="1.0" encoding="utf-8"?>
<formControlPr xmlns="http://schemas.microsoft.com/office/spreadsheetml/2009/9/main" objectType="Drop" dropLines="2" dropStyle="combo" dx="22" noThreeD="1" sel="2" val="0">
  <itemLst>
    <item val=""/>
    <item val="Yes"/>
  </itemLst>
</formControlPr>
</file>

<file path=xl/ctrlProps/ctrlProp8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20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121.xml><?xml version="1.0" encoding="utf-8"?>
<formControlPr xmlns="http://schemas.microsoft.com/office/spreadsheetml/2009/9/main" objectType="Drop" dropLines="2" dropStyle="combo" dx="22" noThreeD="1" sel="1" val="0">
  <itemLst>
    <item val="DEW"/>
    <item val="TOT"/>
  </itemLst>
</formControlPr>
</file>

<file path=xl/ctrlProps/ctrlProp122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2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24.xml><?xml version="1.0" encoding="utf-8"?>
<formControlPr xmlns="http://schemas.microsoft.com/office/spreadsheetml/2009/9/main" objectType="Drop" dropLines="2" dropStyle="combo" dx="22" noThreeD="1" sel="1" val="0">
  <itemLst>
    <item val="Perc"/>
    <item val="Frac"/>
  </itemLst>
</formControlPr>
</file>

<file path=xl/ctrlProps/ctrlProp125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26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2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28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12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0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13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2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13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4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135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136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13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8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13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0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14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2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4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4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145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146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14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8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14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50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15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52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5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54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15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7.xml><?xml version="1.0" encoding="utf-8"?>
<formControlPr xmlns="http://schemas.microsoft.com/office/spreadsheetml/2009/9/main" objectType="Drop" dropLines="2" dropStyle="combo" dx="22" noThreeD="1" sel="2" val="0">
  <itemLst>
    <item val=""/>
    <item val="Yes"/>
  </itemLst>
</formControlPr>
</file>

<file path=xl/ctrlProps/ctrlProp16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5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206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20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08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20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0.xml><?xml version="1.0" encoding="utf-8"?>
<formControlPr xmlns="http://schemas.microsoft.com/office/spreadsheetml/2009/9/main" objectType="Drop" dropLines="3" dropStyle="combo" dx="22" noThreeD="1" sel="1" val="0">
  <itemLst>
    <item val="lb/ft3"/>
    <item val="kg/m3"/>
    <item val="gm/cm3"/>
  </itemLst>
</formControlPr>
</file>

<file path=xl/ctrlProps/ctrlProp21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2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21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4.xml><?xml version="1.0" encoding="utf-8"?>
<formControlPr xmlns="http://schemas.microsoft.com/office/spreadsheetml/2009/9/main" objectType="Drop" dropLines="4" dropStyle="combo" dx="22" noThreeD="1" sel="1" val="0">
  <itemLst>
    <item val="rb/Mscf"/>
    <item val="rb/scf"/>
    <item val="rm3/ksm3"/>
    <item val="rm3/sm3"/>
  </itemLst>
</formControlPr>
</file>

<file path=xl/ctrlProps/ctrlProp215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6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21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8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21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20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22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5</xdr:row>
          <xdr:rowOff>180975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CB_Clear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26" name="CB_AddSamp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12</xdr:row>
          <xdr:rowOff>0</xdr:rowOff>
        </xdr:from>
        <xdr:to>
          <xdr:col>1</xdr:col>
          <xdr:colOff>2419350</xdr:colOff>
          <xdr:row>14</xdr:row>
          <xdr:rowOff>0</xdr:rowOff>
        </xdr:to>
        <xdr:sp macro="" textlink="">
          <xdr:nvSpPr>
            <xdr:cNvPr id="1027" name="CB_AddEx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5</xdr:row>
          <xdr:rowOff>0</xdr:rowOff>
        </xdr:to>
        <xdr:sp macro="" textlink="">
          <xdr:nvSpPr>
            <xdr:cNvPr id="1029" name="CB_Loca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A295433E-0622-4D62-B7E0-A46EA690B47B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RunExp" textlink="">
      <xdr:nvSpPr>
        <xdr:cNvPr id="3" name="Rectangle 2">
          <a:extLst>
            <a:ext uri="{FF2B5EF4-FFF2-40B4-BE49-F238E27FC236}">
              <a16:creationId xmlns:a16="http://schemas.microsoft.com/office/drawing/2014/main" id="{19DED25F-2EBD-4827-A368-2D7086915D73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Run Exps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RunReg" textlink="">
      <xdr:nvSpPr>
        <xdr:cNvPr id="4" name="Rectangle 3">
          <a:extLst>
            <a:ext uri="{FF2B5EF4-FFF2-40B4-BE49-F238E27FC236}">
              <a16:creationId xmlns:a16="http://schemas.microsoft.com/office/drawing/2014/main" id="{2964DA90-E335-473A-A78C-F77C86E288F5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Run Reg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ExpSheet" textlink="">
      <xdr:nvSpPr>
        <xdr:cNvPr id="5" name="Rectangle 4">
          <a:extLst>
            <a:ext uri="{FF2B5EF4-FFF2-40B4-BE49-F238E27FC236}">
              <a16:creationId xmlns:a16="http://schemas.microsoft.com/office/drawing/2014/main" id="{32AFD26E-CD25-419A-938E-B40AA298B0FB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OIL-CCE-1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butJumpExpSheet" textlink="">
      <xdr:nvSpPr>
        <xdr:cNvPr id="6" name="Rectangle 5">
          <a:extLst>
            <a:ext uri="{FF2B5EF4-FFF2-40B4-BE49-F238E27FC236}">
              <a16:creationId xmlns:a16="http://schemas.microsoft.com/office/drawing/2014/main" id="{F4487E02-122D-4842-A480-C91CBB6D3769}"/>
            </a:ext>
          </a:extLst>
        </xdr:cNvPr>
        <xdr:cNvSpPr/>
      </xdr:nvSpPr>
      <xdr:spPr>
        <a:xfrm>
          <a:off x="5486400" y="13335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OIL-DLE-1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butJumpExpSheet" textlink="">
      <xdr:nvSpPr>
        <xdr:cNvPr id="7" name="Rectangle 6">
          <a:extLst>
            <a:ext uri="{FF2B5EF4-FFF2-40B4-BE49-F238E27FC236}">
              <a16:creationId xmlns:a16="http://schemas.microsoft.com/office/drawing/2014/main" id="{BBF30BC9-9E38-4E44-93FF-8DD0ECEFCC9F}"/>
            </a:ext>
          </a:extLst>
        </xdr:cNvPr>
        <xdr:cNvSpPr/>
      </xdr:nvSpPr>
      <xdr:spPr>
        <a:xfrm>
          <a:off x="5486400" y="1524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OIL-SEP-1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butJumpExpSheet" textlink="">
      <xdr:nvSpPr>
        <xdr:cNvPr id="8" name="Rectangle 7">
          <a:extLst>
            <a:ext uri="{FF2B5EF4-FFF2-40B4-BE49-F238E27FC236}">
              <a16:creationId xmlns:a16="http://schemas.microsoft.com/office/drawing/2014/main" id="{6B1BF6E8-5B69-447C-8386-99FC12BD3B06}"/>
            </a:ext>
          </a:extLst>
        </xdr:cNvPr>
        <xdr:cNvSpPr/>
      </xdr:nvSpPr>
      <xdr:spPr>
        <a:xfrm>
          <a:off x="5486400" y="17145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OIL-SEP-2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butJumpExpSheet" textlink="">
      <xdr:nvSpPr>
        <xdr:cNvPr id="10" name="Rectangle 9">
          <a:extLst>
            <a:ext uri="{FF2B5EF4-FFF2-40B4-BE49-F238E27FC236}">
              <a16:creationId xmlns:a16="http://schemas.microsoft.com/office/drawing/2014/main" id="{224FF29E-4E2C-46C5-BD0D-4E226B91718D}"/>
            </a:ext>
          </a:extLst>
        </xdr:cNvPr>
        <xdr:cNvSpPr/>
      </xdr:nvSpPr>
      <xdr:spPr>
        <a:xfrm>
          <a:off x="5486400" y="1905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OIL-DLE-2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9265245D-423B-467E-AAE3-985D86E2FB6B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490CD83D-BFE8-4EFA-A091-603DF235C86C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162D825A-CEF4-444F-AA83-1D58E4BE6777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7B361CC2-4CA7-4F45-99BA-FD72C1C6273A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EFEEAA6A-0262-4050-B5B9-3E90B72ED5D5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62817" name="ddTres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50834902-F961-4CCB-A26F-9AECA73A4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62818" name="ddBorY1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8644A50-C0BA-476B-A097-65DA5435B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62819" name="ddBorY2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EE3D1828-A85D-4F08-941D-3BBC05C37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62820" name="ddBorY3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23CE1E81-6898-405A-8A20-9AE18151A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62821" name="ddBorY4" hidden="1">
              <a:extLst>
                <a:ext uri="{63B3BB69-23CF-44E3-9099-C40C66FF867C}">
                  <a14:compatExt spid="_x0000_s162821"/>
                </a:ext>
                <a:ext uri="{FF2B5EF4-FFF2-40B4-BE49-F238E27FC236}">
                  <a16:creationId xmlns:a16="http://schemas.microsoft.com/office/drawing/2014/main" id="{66F870A4-879B-444E-B0A0-B8C893431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62822" name="ddBorY5" hidden="1">
              <a:extLst>
                <a:ext uri="{63B3BB69-23CF-44E3-9099-C40C66FF867C}">
                  <a14:compatExt spid="_x0000_s162822"/>
                </a:ext>
                <a:ext uri="{FF2B5EF4-FFF2-40B4-BE49-F238E27FC236}">
                  <a16:creationId xmlns:a16="http://schemas.microsoft.com/office/drawing/2014/main" id="{7D33C941-FDAF-43B9-8E25-2E5B8DD3F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62823" name="ddBorY6" hidden="1">
              <a:extLst>
                <a:ext uri="{63B3BB69-23CF-44E3-9099-C40C66FF867C}">
                  <a14:compatExt spid="_x0000_s162823"/>
                </a:ext>
                <a:ext uri="{FF2B5EF4-FFF2-40B4-BE49-F238E27FC236}">
                  <a16:creationId xmlns:a16="http://schemas.microsoft.com/office/drawing/2014/main" id="{BB8AD11E-8C8A-4CBE-91B2-AF3C9DB74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62824" name="ddBorY7" hidden="1">
              <a:extLst>
                <a:ext uri="{63B3BB69-23CF-44E3-9099-C40C66FF867C}">
                  <a14:compatExt spid="_x0000_s162824"/>
                </a:ext>
                <a:ext uri="{FF2B5EF4-FFF2-40B4-BE49-F238E27FC236}">
                  <a16:creationId xmlns:a16="http://schemas.microsoft.com/office/drawing/2014/main" id="{9092B999-5D74-4439-AB04-90B77ACD3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62825" name="ddBorY8" hidden="1">
              <a:extLst>
                <a:ext uri="{63B3BB69-23CF-44E3-9099-C40C66FF867C}">
                  <a14:compatExt spid="_x0000_s162825"/>
                </a:ext>
                <a:ext uri="{FF2B5EF4-FFF2-40B4-BE49-F238E27FC236}">
                  <a16:creationId xmlns:a16="http://schemas.microsoft.com/office/drawing/2014/main" id="{D83F8A21-F4A6-4869-9F22-CA44E8872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62826" name="ddBorY9" hidden="1">
              <a:extLst>
                <a:ext uri="{63B3BB69-23CF-44E3-9099-C40C66FF867C}">
                  <a14:compatExt spid="_x0000_s162826"/>
                </a:ext>
                <a:ext uri="{FF2B5EF4-FFF2-40B4-BE49-F238E27FC236}">
                  <a16:creationId xmlns:a16="http://schemas.microsoft.com/office/drawing/2014/main" id="{048A4B7C-5F86-43A0-A35B-9EBE12FA7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62827" name="ddBorY10" hidden="1">
              <a:extLst>
                <a:ext uri="{63B3BB69-23CF-44E3-9099-C40C66FF867C}">
                  <a14:compatExt spid="_x0000_s162827"/>
                </a:ext>
                <a:ext uri="{FF2B5EF4-FFF2-40B4-BE49-F238E27FC236}">
                  <a16:creationId xmlns:a16="http://schemas.microsoft.com/office/drawing/2014/main" id="{6A8A258A-32DA-4FB3-A3E1-47EBBE933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62828" name="ddBorY11" hidden="1">
              <a:extLst>
                <a:ext uri="{63B3BB69-23CF-44E3-9099-C40C66FF867C}">
                  <a14:compatExt spid="_x0000_s162828"/>
                </a:ext>
                <a:ext uri="{FF2B5EF4-FFF2-40B4-BE49-F238E27FC236}">
                  <a16:creationId xmlns:a16="http://schemas.microsoft.com/office/drawing/2014/main" id="{3255500A-8CB7-4C3E-9974-26EBE2A94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62829" name="ddBorY12" hidden="1">
              <a:extLst>
                <a:ext uri="{63B3BB69-23CF-44E3-9099-C40C66FF867C}">
                  <a14:compatExt spid="_x0000_s162829"/>
                </a:ext>
                <a:ext uri="{FF2B5EF4-FFF2-40B4-BE49-F238E27FC236}">
                  <a16:creationId xmlns:a16="http://schemas.microsoft.com/office/drawing/2014/main" id="{666E61C7-6BB9-44DA-97AB-6A690E6DE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62830" name="ddBorY13" hidden="1">
              <a:extLst>
                <a:ext uri="{63B3BB69-23CF-44E3-9099-C40C66FF867C}">
                  <a14:compatExt spid="_x0000_s162830"/>
                </a:ext>
                <a:ext uri="{FF2B5EF4-FFF2-40B4-BE49-F238E27FC236}">
                  <a16:creationId xmlns:a16="http://schemas.microsoft.com/office/drawing/2014/main" id="{A61B3552-BE5F-4DA7-9877-DF2D639B1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62831" name="ddBorY14" hidden="1">
              <a:extLst>
                <a:ext uri="{63B3BB69-23CF-44E3-9099-C40C66FF867C}">
                  <a14:compatExt spid="_x0000_s162831"/>
                </a:ext>
                <a:ext uri="{FF2B5EF4-FFF2-40B4-BE49-F238E27FC236}">
                  <a16:creationId xmlns:a16="http://schemas.microsoft.com/office/drawing/2014/main" id="{F94B1568-9407-4480-88D0-D20AA2B6D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62832" name="ddBorY15" hidden="1">
              <a:extLst>
                <a:ext uri="{63B3BB69-23CF-44E3-9099-C40C66FF867C}">
                  <a14:compatExt spid="_x0000_s162832"/>
                </a:ext>
                <a:ext uri="{FF2B5EF4-FFF2-40B4-BE49-F238E27FC236}">
                  <a16:creationId xmlns:a16="http://schemas.microsoft.com/office/drawing/2014/main" id="{36096D92-1956-48CF-B1AE-6F968EA14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62833" name="ddBorY16" hidden="1">
              <a:extLst>
                <a:ext uri="{63B3BB69-23CF-44E3-9099-C40C66FF867C}">
                  <a14:compatExt spid="_x0000_s162833"/>
                </a:ext>
                <a:ext uri="{FF2B5EF4-FFF2-40B4-BE49-F238E27FC236}">
                  <a16:creationId xmlns:a16="http://schemas.microsoft.com/office/drawing/2014/main" id="{05ACC715-29F3-40B9-B0EC-6DC6AA5D5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62834" name="ddBorY17" hidden="1">
              <a:extLst>
                <a:ext uri="{63B3BB69-23CF-44E3-9099-C40C66FF867C}">
                  <a14:compatExt spid="_x0000_s162834"/>
                </a:ext>
                <a:ext uri="{FF2B5EF4-FFF2-40B4-BE49-F238E27FC236}">
                  <a16:creationId xmlns:a16="http://schemas.microsoft.com/office/drawing/2014/main" id="{CF4B5659-EE6A-42C7-A94A-A0C451678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62835" name="ddBorY18" hidden="1">
              <a:extLst>
                <a:ext uri="{63B3BB69-23CF-44E3-9099-C40C66FF867C}">
                  <a14:compatExt spid="_x0000_s162835"/>
                </a:ext>
                <a:ext uri="{FF2B5EF4-FFF2-40B4-BE49-F238E27FC236}">
                  <a16:creationId xmlns:a16="http://schemas.microsoft.com/office/drawing/2014/main" id="{60FBE297-9382-48A4-8F2D-8E1A57F7E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62836" name="ddBorY19" hidden="1">
              <a:extLst>
                <a:ext uri="{63B3BB69-23CF-44E3-9099-C40C66FF867C}">
                  <a14:compatExt spid="_x0000_s162836"/>
                </a:ext>
                <a:ext uri="{FF2B5EF4-FFF2-40B4-BE49-F238E27FC236}">
                  <a16:creationId xmlns:a16="http://schemas.microsoft.com/office/drawing/2014/main" id="{CA03A3E8-A1C8-4D92-BAF3-0A9706C8E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62837" name="ddBorY20" hidden="1">
              <a:extLst>
                <a:ext uri="{63B3BB69-23CF-44E3-9099-C40C66FF867C}">
                  <a14:compatExt spid="_x0000_s162837"/>
                </a:ext>
                <a:ext uri="{FF2B5EF4-FFF2-40B4-BE49-F238E27FC236}">
                  <a16:creationId xmlns:a16="http://schemas.microsoft.com/office/drawing/2014/main" id="{BCB84256-FAAC-457B-AE01-64C5B5D55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62838" name="ddBorY21" hidden="1">
              <a:extLst>
                <a:ext uri="{63B3BB69-23CF-44E3-9099-C40C66FF867C}">
                  <a14:compatExt spid="_x0000_s162838"/>
                </a:ext>
                <a:ext uri="{FF2B5EF4-FFF2-40B4-BE49-F238E27FC236}">
                  <a16:creationId xmlns:a16="http://schemas.microsoft.com/office/drawing/2014/main" id="{5F13FB65-1CF4-42BF-A78F-5616BF7A5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62839" name="ddBorY22" hidden="1">
              <a:extLst>
                <a:ext uri="{63B3BB69-23CF-44E3-9099-C40C66FF867C}">
                  <a14:compatExt spid="_x0000_s162839"/>
                </a:ext>
                <a:ext uri="{FF2B5EF4-FFF2-40B4-BE49-F238E27FC236}">
                  <a16:creationId xmlns:a16="http://schemas.microsoft.com/office/drawing/2014/main" id="{0B4FEA74-4197-4C96-847F-0A7BCEBA2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62840" name="ddBorY23" hidden="1">
              <a:extLst>
                <a:ext uri="{63B3BB69-23CF-44E3-9099-C40C66FF867C}">
                  <a14:compatExt spid="_x0000_s162840"/>
                </a:ext>
                <a:ext uri="{FF2B5EF4-FFF2-40B4-BE49-F238E27FC236}">
                  <a16:creationId xmlns:a16="http://schemas.microsoft.com/office/drawing/2014/main" id="{DC4E6751-CEFB-4625-9581-A48E606A5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62841" name="ddBorY24" hidden="1">
              <a:extLst>
                <a:ext uri="{63B3BB69-23CF-44E3-9099-C40C66FF867C}">
                  <a14:compatExt spid="_x0000_s162841"/>
                </a:ext>
                <a:ext uri="{FF2B5EF4-FFF2-40B4-BE49-F238E27FC236}">
                  <a16:creationId xmlns:a16="http://schemas.microsoft.com/office/drawing/2014/main" id="{1DE99AAE-E993-4B1F-93DB-154C2C207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62842" name="ddBorY25" hidden="1">
              <a:extLst>
                <a:ext uri="{63B3BB69-23CF-44E3-9099-C40C66FF867C}">
                  <a14:compatExt spid="_x0000_s162842"/>
                </a:ext>
                <a:ext uri="{FF2B5EF4-FFF2-40B4-BE49-F238E27FC236}">
                  <a16:creationId xmlns:a16="http://schemas.microsoft.com/office/drawing/2014/main" id="{C22E8E5A-F1B4-4E56-B1A1-EF95B6CBC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62843" name="ddBorY26" hidden="1">
              <a:extLst>
                <a:ext uri="{63B3BB69-23CF-44E3-9099-C40C66FF867C}">
                  <a14:compatExt spid="_x0000_s162843"/>
                </a:ext>
                <a:ext uri="{FF2B5EF4-FFF2-40B4-BE49-F238E27FC236}">
                  <a16:creationId xmlns:a16="http://schemas.microsoft.com/office/drawing/2014/main" id="{C16BEB3E-9DDE-4A8C-B604-7455E3B98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62844" name="ddBorY27" hidden="1">
              <a:extLst>
                <a:ext uri="{63B3BB69-23CF-44E3-9099-C40C66FF867C}">
                  <a14:compatExt spid="_x0000_s162844"/>
                </a:ext>
                <a:ext uri="{FF2B5EF4-FFF2-40B4-BE49-F238E27FC236}">
                  <a16:creationId xmlns:a16="http://schemas.microsoft.com/office/drawing/2014/main" id="{BB5129BB-B683-4B19-B7B1-66B61E6A4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62845" name="ddBorY28" hidden="1">
              <a:extLst>
                <a:ext uri="{63B3BB69-23CF-44E3-9099-C40C66FF867C}">
                  <a14:compatExt spid="_x0000_s162845"/>
                </a:ext>
                <a:ext uri="{FF2B5EF4-FFF2-40B4-BE49-F238E27FC236}">
                  <a16:creationId xmlns:a16="http://schemas.microsoft.com/office/drawing/2014/main" id="{C0E11AE9-1681-472D-8539-64D1380B4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62846" name="ddBorY29" hidden="1">
              <a:extLst>
                <a:ext uri="{63B3BB69-23CF-44E3-9099-C40C66FF867C}">
                  <a14:compatExt spid="_x0000_s162846"/>
                </a:ext>
                <a:ext uri="{FF2B5EF4-FFF2-40B4-BE49-F238E27FC236}">
                  <a16:creationId xmlns:a16="http://schemas.microsoft.com/office/drawing/2014/main" id="{85748A00-192E-4DCF-A455-2F9FA9905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62847" name="ddBorY30" hidden="1">
              <a:extLst>
                <a:ext uri="{63B3BB69-23CF-44E3-9099-C40C66FF867C}">
                  <a14:compatExt spid="_x0000_s162847"/>
                </a:ext>
                <a:ext uri="{FF2B5EF4-FFF2-40B4-BE49-F238E27FC236}">
                  <a16:creationId xmlns:a16="http://schemas.microsoft.com/office/drawing/2014/main" id="{59E1420A-1C92-4334-BD11-06B683058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62848" name="ddBorY31" hidden="1">
              <a:extLst>
                <a:ext uri="{63B3BB69-23CF-44E3-9099-C40C66FF867C}">
                  <a14:compatExt spid="_x0000_s162848"/>
                </a:ext>
                <a:ext uri="{FF2B5EF4-FFF2-40B4-BE49-F238E27FC236}">
                  <a16:creationId xmlns:a16="http://schemas.microsoft.com/office/drawing/2014/main" id="{B3BEAEAC-13F5-4A3C-A9EA-A38D7580E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62849" name="ddBorY32" hidden="1">
              <a:extLst>
                <a:ext uri="{63B3BB69-23CF-44E3-9099-C40C66FF867C}">
                  <a14:compatExt spid="_x0000_s162849"/>
                </a:ext>
                <a:ext uri="{FF2B5EF4-FFF2-40B4-BE49-F238E27FC236}">
                  <a16:creationId xmlns:a16="http://schemas.microsoft.com/office/drawing/2014/main" id="{2430E91F-D75D-4354-9AF3-DC211209D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62850" name="ddBorY33" hidden="1">
              <a:extLst>
                <a:ext uri="{63B3BB69-23CF-44E3-9099-C40C66FF867C}">
                  <a14:compatExt spid="_x0000_s162850"/>
                </a:ext>
                <a:ext uri="{FF2B5EF4-FFF2-40B4-BE49-F238E27FC236}">
                  <a16:creationId xmlns:a16="http://schemas.microsoft.com/office/drawing/2014/main" id="{D77EE740-5693-490A-92AC-743423374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62851" name="ddBorY34" hidden="1">
              <a:extLst>
                <a:ext uri="{63B3BB69-23CF-44E3-9099-C40C66FF867C}">
                  <a14:compatExt spid="_x0000_s162851"/>
                </a:ext>
                <a:ext uri="{FF2B5EF4-FFF2-40B4-BE49-F238E27FC236}">
                  <a16:creationId xmlns:a16="http://schemas.microsoft.com/office/drawing/2014/main" id="{52795979-97A0-49FE-AE0F-0F27D79B2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62852" name="ddBorY35" hidden="1">
              <a:extLst>
                <a:ext uri="{63B3BB69-23CF-44E3-9099-C40C66FF867C}">
                  <a14:compatExt spid="_x0000_s162852"/>
                </a:ext>
                <a:ext uri="{FF2B5EF4-FFF2-40B4-BE49-F238E27FC236}">
                  <a16:creationId xmlns:a16="http://schemas.microsoft.com/office/drawing/2014/main" id="{3B3F43C7-8F87-4A87-8D8E-919610EAF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62853" name="ddBorY36" hidden="1">
              <a:extLst>
                <a:ext uri="{63B3BB69-23CF-44E3-9099-C40C66FF867C}">
                  <a14:compatExt spid="_x0000_s162853"/>
                </a:ext>
                <a:ext uri="{FF2B5EF4-FFF2-40B4-BE49-F238E27FC236}">
                  <a16:creationId xmlns:a16="http://schemas.microsoft.com/office/drawing/2014/main" id="{8F4911C8-13AE-4B67-B65E-C2B79B006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62854" name="ddBorY37" hidden="1">
              <a:extLst>
                <a:ext uri="{63B3BB69-23CF-44E3-9099-C40C66FF867C}">
                  <a14:compatExt spid="_x0000_s162854"/>
                </a:ext>
                <a:ext uri="{FF2B5EF4-FFF2-40B4-BE49-F238E27FC236}">
                  <a16:creationId xmlns:a16="http://schemas.microsoft.com/office/drawing/2014/main" id="{CA2EF51F-C417-4C36-9BBB-4005DCEE2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62855" name="ddBorY38" hidden="1">
              <a:extLst>
                <a:ext uri="{63B3BB69-23CF-44E3-9099-C40C66FF867C}">
                  <a14:compatExt spid="_x0000_s162855"/>
                </a:ext>
                <a:ext uri="{FF2B5EF4-FFF2-40B4-BE49-F238E27FC236}">
                  <a16:creationId xmlns:a16="http://schemas.microsoft.com/office/drawing/2014/main" id="{F61BC0EA-1124-44EE-9078-658338663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62856" name="ddBorY39" hidden="1">
              <a:extLst>
                <a:ext uri="{63B3BB69-23CF-44E3-9099-C40C66FF867C}">
                  <a14:compatExt spid="_x0000_s162856"/>
                </a:ext>
                <a:ext uri="{FF2B5EF4-FFF2-40B4-BE49-F238E27FC236}">
                  <a16:creationId xmlns:a16="http://schemas.microsoft.com/office/drawing/2014/main" id="{68A9AA91-2803-4CC3-B645-E73271C94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62857" name="ddBorY40" hidden="1">
              <a:extLst>
                <a:ext uri="{63B3BB69-23CF-44E3-9099-C40C66FF867C}">
                  <a14:compatExt spid="_x0000_s162857"/>
                </a:ext>
                <a:ext uri="{FF2B5EF4-FFF2-40B4-BE49-F238E27FC236}">
                  <a16:creationId xmlns:a16="http://schemas.microsoft.com/office/drawing/2014/main" id="{C275D01E-B634-4A07-B45B-DBAD03137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62858" name="ddBorY41" hidden="1">
              <a:extLst>
                <a:ext uri="{63B3BB69-23CF-44E3-9099-C40C66FF867C}">
                  <a14:compatExt spid="_x0000_s162858"/>
                </a:ext>
                <a:ext uri="{FF2B5EF4-FFF2-40B4-BE49-F238E27FC236}">
                  <a16:creationId xmlns:a16="http://schemas.microsoft.com/office/drawing/2014/main" id="{0EC6946F-8FD0-4E8C-96EB-F265501B4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62859" name="ddBorY42" hidden="1">
              <a:extLst>
                <a:ext uri="{63B3BB69-23CF-44E3-9099-C40C66FF867C}">
                  <a14:compatExt spid="_x0000_s162859"/>
                </a:ext>
                <a:ext uri="{FF2B5EF4-FFF2-40B4-BE49-F238E27FC236}">
                  <a16:creationId xmlns:a16="http://schemas.microsoft.com/office/drawing/2014/main" id="{E947C3AC-FC9C-4C8F-87CB-ECA43E6C1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62860" name="ddBorY43" hidden="1">
              <a:extLst>
                <a:ext uri="{63B3BB69-23CF-44E3-9099-C40C66FF867C}">
                  <a14:compatExt spid="_x0000_s162860"/>
                </a:ext>
                <a:ext uri="{FF2B5EF4-FFF2-40B4-BE49-F238E27FC236}">
                  <a16:creationId xmlns:a16="http://schemas.microsoft.com/office/drawing/2014/main" id="{32A24900-0B73-43D5-8DFC-CAD19025D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62861" name="ddBorY44" hidden="1">
              <a:extLst>
                <a:ext uri="{63B3BB69-23CF-44E3-9099-C40C66FF867C}">
                  <a14:compatExt spid="_x0000_s162861"/>
                </a:ext>
                <a:ext uri="{FF2B5EF4-FFF2-40B4-BE49-F238E27FC236}">
                  <a16:creationId xmlns:a16="http://schemas.microsoft.com/office/drawing/2014/main" id="{C0CF4D1D-3F4D-46AC-98CE-06D80FD43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62862" name="ddBorY45" hidden="1">
              <a:extLst>
                <a:ext uri="{63B3BB69-23CF-44E3-9099-C40C66FF867C}">
                  <a14:compatExt spid="_x0000_s162862"/>
                </a:ext>
                <a:ext uri="{FF2B5EF4-FFF2-40B4-BE49-F238E27FC236}">
                  <a16:creationId xmlns:a16="http://schemas.microsoft.com/office/drawing/2014/main" id="{4FD23F9D-CA31-4C69-BA75-862F5D010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62863" name="ddBorY46" hidden="1">
              <a:extLst>
                <a:ext uri="{63B3BB69-23CF-44E3-9099-C40C66FF867C}">
                  <a14:compatExt spid="_x0000_s162863"/>
                </a:ext>
                <a:ext uri="{FF2B5EF4-FFF2-40B4-BE49-F238E27FC236}">
                  <a16:creationId xmlns:a16="http://schemas.microsoft.com/office/drawing/2014/main" id="{E8AE34DB-B668-4453-8717-598555C42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62864" name="ddBorY47" hidden="1">
              <a:extLst>
                <a:ext uri="{63B3BB69-23CF-44E3-9099-C40C66FF867C}">
                  <a14:compatExt spid="_x0000_s162864"/>
                </a:ext>
                <a:ext uri="{FF2B5EF4-FFF2-40B4-BE49-F238E27FC236}">
                  <a16:creationId xmlns:a16="http://schemas.microsoft.com/office/drawing/2014/main" id="{91FDB325-5CB1-4D89-92A8-5335208F0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62865" name="ddBorY48" hidden="1">
              <a:extLst>
                <a:ext uri="{63B3BB69-23CF-44E3-9099-C40C66FF867C}">
                  <a14:compatExt spid="_x0000_s162865"/>
                </a:ext>
                <a:ext uri="{FF2B5EF4-FFF2-40B4-BE49-F238E27FC236}">
                  <a16:creationId xmlns:a16="http://schemas.microsoft.com/office/drawing/2014/main" id="{BF6A7970-09AC-4342-BB06-6E1A36925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62866" name="ddBorY49" hidden="1">
              <a:extLst>
                <a:ext uri="{63B3BB69-23CF-44E3-9099-C40C66FF867C}">
                  <a14:compatExt spid="_x0000_s162866"/>
                </a:ext>
                <a:ext uri="{FF2B5EF4-FFF2-40B4-BE49-F238E27FC236}">
                  <a16:creationId xmlns:a16="http://schemas.microsoft.com/office/drawing/2014/main" id="{B74C788D-C6A3-4781-8721-F7B23C5EB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62867" name="ddBorY50" hidden="1">
              <a:extLst>
                <a:ext uri="{63B3BB69-23CF-44E3-9099-C40C66FF867C}">
                  <a14:compatExt spid="_x0000_s162867"/>
                </a:ext>
                <a:ext uri="{FF2B5EF4-FFF2-40B4-BE49-F238E27FC236}">
                  <a16:creationId xmlns:a16="http://schemas.microsoft.com/office/drawing/2014/main" id="{BA15F18F-AF4E-41BA-B70E-588D41751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2868" name="ddInd1" hidden="1">
              <a:extLst>
                <a:ext uri="{63B3BB69-23CF-44E3-9099-C40C66FF867C}">
                  <a14:compatExt spid="_x0000_s162868"/>
                </a:ext>
                <a:ext uri="{FF2B5EF4-FFF2-40B4-BE49-F238E27FC236}">
                  <a16:creationId xmlns:a16="http://schemas.microsoft.com/office/drawing/2014/main" id="{31C0ECDB-9B74-4819-BC71-FEFD05D1A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2869" name="ddCuni1" hidden="1">
              <a:extLst>
                <a:ext uri="{63B3BB69-23CF-44E3-9099-C40C66FF867C}">
                  <a14:compatExt spid="_x0000_s162869"/>
                </a:ext>
                <a:ext uri="{FF2B5EF4-FFF2-40B4-BE49-F238E27FC236}">
                  <a16:creationId xmlns:a16="http://schemas.microsoft.com/office/drawing/2014/main" id="{08F11892-500F-4C1D-BA9D-B123184D9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62870" name="ddCyn1" hidden="1">
              <a:extLst>
                <a:ext uri="{63B3BB69-23CF-44E3-9099-C40C66FF867C}">
                  <a14:compatExt spid="_x0000_s162870"/>
                </a:ext>
                <a:ext uri="{FF2B5EF4-FFF2-40B4-BE49-F238E27FC236}">
                  <a16:creationId xmlns:a16="http://schemas.microsoft.com/office/drawing/2014/main" id="{E7A0C0FD-4748-4000-B609-91880FD79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2871" name="ddCuni2" hidden="1">
              <a:extLst>
                <a:ext uri="{63B3BB69-23CF-44E3-9099-C40C66FF867C}">
                  <a14:compatExt spid="_x0000_s162871"/>
                </a:ext>
                <a:ext uri="{FF2B5EF4-FFF2-40B4-BE49-F238E27FC236}">
                  <a16:creationId xmlns:a16="http://schemas.microsoft.com/office/drawing/2014/main" id="{D5C7F6E6-E0FD-4E26-ACE5-35F28344A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2872" name="ddCyn2" hidden="1">
              <a:extLst>
                <a:ext uri="{63B3BB69-23CF-44E3-9099-C40C66FF867C}">
                  <a14:compatExt spid="_x0000_s162872"/>
                </a:ext>
                <a:ext uri="{FF2B5EF4-FFF2-40B4-BE49-F238E27FC236}">
                  <a16:creationId xmlns:a16="http://schemas.microsoft.com/office/drawing/2014/main" id="{1E575D11-68BA-464B-99D4-819AA6FD1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2873" name="ddCuni3" hidden="1">
              <a:extLst>
                <a:ext uri="{63B3BB69-23CF-44E3-9099-C40C66FF867C}">
                  <a14:compatExt spid="_x0000_s162873"/>
                </a:ext>
                <a:ext uri="{FF2B5EF4-FFF2-40B4-BE49-F238E27FC236}">
                  <a16:creationId xmlns:a16="http://schemas.microsoft.com/office/drawing/2014/main" id="{4CC27B40-3E43-4AAD-AF3C-0DC1E1327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2874" name="ddCyn3" hidden="1">
              <a:extLst>
                <a:ext uri="{63B3BB69-23CF-44E3-9099-C40C66FF867C}">
                  <a14:compatExt spid="_x0000_s162874"/>
                </a:ext>
                <a:ext uri="{FF2B5EF4-FFF2-40B4-BE49-F238E27FC236}">
                  <a16:creationId xmlns:a16="http://schemas.microsoft.com/office/drawing/2014/main" id="{C79950ED-ADCE-4B5C-A891-75591D3EE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2875" name="ddCuni4" hidden="1">
              <a:extLst>
                <a:ext uri="{63B3BB69-23CF-44E3-9099-C40C66FF867C}">
                  <a14:compatExt spid="_x0000_s162875"/>
                </a:ext>
                <a:ext uri="{FF2B5EF4-FFF2-40B4-BE49-F238E27FC236}">
                  <a16:creationId xmlns:a16="http://schemas.microsoft.com/office/drawing/2014/main" id="{7AFA8818-4E0A-4E21-AC5E-34808BCA0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2876" name="ddCyn4" hidden="1">
              <a:extLst>
                <a:ext uri="{63B3BB69-23CF-44E3-9099-C40C66FF867C}">
                  <a14:compatExt spid="_x0000_s162876"/>
                </a:ext>
                <a:ext uri="{FF2B5EF4-FFF2-40B4-BE49-F238E27FC236}">
                  <a16:creationId xmlns:a16="http://schemas.microsoft.com/office/drawing/2014/main" id="{11C51C8F-2B39-4596-9FA2-DBE78A29A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2877" name="ddCuni5" hidden="1">
              <a:extLst>
                <a:ext uri="{63B3BB69-23CF-44E3-9099-C40C66FF867C}">
                  <a14:compatExt spid="_x0000_s162877"/>
                </a:ext>
                <a:ext uri="{FF2B5EF4-FFF2-40B4-BE49-F238E27FC236}">
                  <a16:creationId xmlns:a16="http://schemas.microsoft.com/office/drawing/2014/main" id="{F403BC29-A623-42F1-8BD6-08CC4151B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2878" name="ddCyn5" hidden="1">
              <a:extLst>
                <a:ext uri="{63B3BB69-23CF-44E3-9099-C40C66FF867C}">
                  <a14:compatExt spid="_x0000_s162878"/>
                </a:ext>
                <a:ext uri="{FF2B5EF4-FFF2-40B4-BE49-F238E27FC236}">
                  <a16:creationId xmlns:a16="http://schemas.microsoft.com/office/drawing/2014/main" id="{FB321954-B84E-462B-92D7-75B54FCA5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62879" name="ddCuni6" hidden="1">
              <a:extLst>
                <a:ext uri="{63B3BB69-23CF-44E3-9099-C40C66FF867C}">
                  <a14:compatExt spid="_x0000_s162879"/>
                </a:ext>
                <a:ext uri="{FF2B5EF4-FFF2-40B4-BE49-F238E27FC236}">
                  <a16:creationId xmlns:a16="http://schemas.microsoft.com/office/drawing/2014/main" id="{EEA6C464-8950-4723-84B6-5FCFCA8FD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62880" name="ddCyn6" hidden="1">
              <a:extLst>
                <a:ext uri="{63B3BB69-23CF-44E3-9099-C40C66FF867C}">
                  <a14:compatExt spid="_x0000_s162880"/>
                </a:ext>
                <a:ext uri="{FF2B5EF4-FFF2-40B4-BE49-F238E27FC236}">
                  <a16:creationId xmlns:a16="http://schemas.microsoft.com/office/drawing/2014/main" id="{6D556717-A667-4E44-8062-025302C54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62881" name="ddCuni7" hidden="1">
              <a:extLst>
                <a:ext uri="{63B3BB69-23CF-44E3-9099-C40C66FF867C}">
                  <a14:compatExt spid="_x0000_s162881"/>
                </a:ext>
                <a:ext uri="{FF2B5EF4-FFF2-40B4-BE49-F238E27FC236}">
                  <a16:creationId xmlns:a16="http://schemas.microsoft.com/office/drawing/2014/main" id="{D566772C-C92C-4B14-AEAE-390D83F84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62882" name="ddCyn7" hidden="1">
              <a:extLst>
                <a:ext uri="{63B3BB69-23CF-44E3-9099-C40C66FF867C}">
                  <a14:compatExt spid="_x0000_s162882"/>
                </a:ext>
                <a:ext uri="{FF2B5EF4-FFF2-40B4-BE49-F238E27FC236}">
                  <a16:creationId xmlns:a16="http://schemas.microsoft.com/office/drawing/2014/main" id="{B62AE040-7BFE-4FFB-AD28-8B499FAA4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62883" name="ddCuni8" hidden="1">
              <a:extLst>
                <a:ext uri="{63B3BB69-23CF-44E3-9099-C40C66FF867C}">
                  <a14:compatExt spid="_x0000_s162883"/>
                </a:ext>
                <a:ext uri="{FF2B5EF4-FFF2-40B4-BE49-F238E27FC236}">
                  <a16:creationId xmlns:a16="http://schemas.microsoft.com/office/drawing/2014/main" id="{BB88111F-7BDE-4388-B90B-9208344C8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62884" name="ddCyn8" hidden="1">
              <a:extLst>
                <a:ext uri="{63B3BB69-23CF-44E3-9099-C40C66FF867C}">
                  <a14:compatExt spid="_x0000_s162884"/>
                </a:ext>
                <a:ext uri="{FF2B5EF4-FFF2-40B4-BE49-F238E27FC236}">
                  <a16:creationId xmlns:a16="http://schemas.microsoft.com/office/drawing/2014/main" id="{03C70F79-CF1A-48D7-9E3F-027F74365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189577A6-5CFD-4FF0-838D-5E096D1F7A4A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B55BE661-7C08-48E9-A64E-CC7831A88F82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DB810B49-AF2A-4D05-9B72-216FA450B143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CB95448A-48B1-4D4F-A8C3-8B16627EAA73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319A1C78-51CD-41B6-8CC2-3B097F9B1D5E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61793" name="ddTres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E5A6091D-D35D-4046-97D3-B23CF174D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61794" name="ddBorY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3A68BA8C-B1F9-402C-B311-345FDCEE2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61795" name="ddBorY2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C6BF23AD-F2F8-4A02-96DE-AA9F858D1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61796" name="ddBorY3" hidden="1">
              <a:extLst>
                <a:ext uri="{63B3BB69-23CF-44E3-9099-C40C66FF867C}">
                  <a14:compatExt spid="_x0000_s161796"/>
                </a:ext>
                <a:ext uri="{FF2B5EF4-FFF2-40B4-BE49-F238E27FC236}">
                  <a16:creationId xmlns:a16="http://schemas.microsoft.com/office/drawing/2014/main" id="{C2451AF8-6D15-432A-BD6F-0540C766A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61797" name="ddBorY4" hidden="1">
              <a:extLst>
                <a:ext uri="{63B3BB69-23CF-44E3-9099-C40C66FF867C}">
                  <a14:compatExt spid="_x0000_s161797"/>
                </a:ext>
                <a:ext uri="{FF2B5EF4-FFF2-40B4-BE49-F238E27FC236}">
                  <a16:creationId xmlns:a16="http://schemas.microsoft.com/office/drawing/2014/main" id="{2F915678-0370-4567-9D10-881C0E584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61798" name="ddBorY5" hidden="1">
              <a:extLst>
                <a:ext uri="{63B3BB69-23CF-44E3-9099-C40C66FF867C}">
                  <a14:compatExt spid="_x0000_s161798"/>
                </a:ext>
                <a:ext uri="{FF2B5EF4-FFF2-40B4-BE49-F238E27FC236}">
                  <a16:creationId xmlns:a16="http://schemas.microsoft.com/office/drawing/2014/main" id="{60B83CEC-27C6-49FB-B113-9F7603211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61799" name="ddBorY6" hidden="1">
              <a:extLst>
                <a:ext uri="{63B3BB69-23CF-44E3-9099-C40C66FF867C}">
                  <a14:compatExt spid="_x0000_s161799"/>
                </a:ext>
                <a:ext uri="{FF2B5EF4-FFF2-40B4-BE49-F238E27FC236}">
                  <a16:creationId xmlns:a16="http://schemas.microsoft.com/office/drawing/2014/main" id="{C15E6366-1AE8-4ECE-BE83-08F9CEC22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61800" name="ddBorY7" hidden="1">
              <a:extLst>
                <a:ext uri="{63B3BB69-23CF-44E3-9099-C40C66FF867C}">
                  <a14:compatExt spid="_x0000_s161800"/>
                </a:ext>
                <a:ext uri="{FF2B5EF4-FFF2-40B4-BE49-F238E27FC236}">
                  <a16:creationId xmlns:a16="http://schemas.microsoft.com/office/drawing/2014/main" id="{CDDA64C1-0680-462F-843B-4A90C6AA7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61801" name="ddBorY8" hidden="1">
              <a:extLst>
                <a:ext uri="{63B3BB69-23CF-44E3-9099-C40C66FF867C}">
                  <a14:compatExt spid="_x0000_s161801"/>
                </a:ext>
                <a:ext uri="{FF2B5EF4-FFF2-40B4-BE49-F238E27FC236}">
                  <a16:creationId xmlns:a16="http://schemas.microsoft.com/office/drawing/2014/main" id="{A48E83A5-2829-4B2E-BD65-F8B0A5787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61802" name="ddBorY9" hidden="1">
              <a:extLst>
                <a:ext uri="{63B3BB69-23CF-44E3-9099-C40C66FF867C}">
                  <a14:compatExt spid="_x0000_s161802"/>
                </a:ext>
                <a:ext uri="{FF2B5EF4-FFF2-40B4-BE49-F238E27FC236}">
                  <a16:creationId xmlns:a16="http://schemas.microsoft.com/office/drawing/2014/main" id="{A694EC12-FE2F-4B06-9932-605E7C2F6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61803" name="ddBorY10" hidden="1">
              <a:extLst>
                <a:ext uri="{63B3BB69-23CF-44E3-9099-C40C66FF867C}">
                  <a14:compatExt spid="_x0000_s161803"/>
                </a:ext>
                <a:ext uri="{FF2B5EF4-FFF2-40B4-BE49-F238E27FC236}">
                  <a16:creationId xmlns:a16="http://schemas.microsoft.com/office/drawing/2014/main" id="{F13A796E-A6A2-42CA-B409-3D2479AC2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61804" name="ddBorY11" hidden="1">
              <a:extLst>
                <a:ext uri="{63B3BB69-23CF-44E3-9099-C40C66FF867C}">
                  <a14:compatExt spid="_x0000_s161804"/>
                </a:ext>
                <a:ext uri="{FF2B5EF4-FFF2-40B4-BE49-F238E27FC236}">
                  <a16:creationId xmlns:a16="http://schemas.microsoft.com/office/drawing/2014/main" id="{57E1EAC5-4CFF-46FC-93A1-CF6DF9112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61805" name="ddBorY12" hidden="1">
              <a:extLst>
                <a:ext uri="{63B3BB69-23CF-44E3-9099-C40C66FF867C}">
                  <a14:compatExt spid="_x0000_s161805"/>
                </a:ext>
                <a:ext uri="{FF2B5EF4-FFF2-40B4-BE49-F238E27FC236}">
                  <a16:creationId xmlns:a16="http://schemas.microsoft.com/office/drawing/2014/main" id="{ABF30590-2B0D-411B-BF8A-85C33D1DB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61806" name="ddBorY13" hidden="1">
              <a:extLst>
                <a:ext uri="{63B3BB69-23CF-44E3-9099-C40C66FF867C}">
                  <a14:compatExt spid="_x0000_s161806"/>
                </a:ext>
                <a:ext uri="{FF2B5EF4-FFF2-40B4-BE49-F238E27FC236}">
                  <a16:creationId xmlns:a16="http://schemas.microsoft.com/office/drawing/2014/main" id="{A150E166-9E10-4DF8-A5F9-28E2339CC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61807" name="ddBorY14" hidden="1">
              <a:extLst>
                <a:ext uri="{63B3BB69-23CF-44E3-9099-C40C66FF867C}">
                  <a14:compatExt spid="_x0000_s161807"/>
                </a:ext>
                <a:ext uri="{FF2B5EF4-FFF2-40B4-BE49-F238E27FC236}">
                  <a16:creationId xmlns:a16="http://schemas.microsoft.com/office/drawing/2014/main" id="{004B01A1-A244-45FE-A618-B0E03BEBF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61808" name="ddBorY15" hidden="1">
              <a:extLst>
                <a:ext uri="{63B3BB69-23CF-44E3-9099-C40C66FF867C}">
                  <a14:compatExt spid="_x0000_s161808"/>
                </a:ext>
                <a:ext uri="{FF2B5EF4-FFF2-40B4-BE49-F238E27FC236}">
                  <a16:creationId xmlns:a16="http://schemas.microsoft.com/office/drawing/2014/main" id="{114C451A-B7FC-4AAF-B6DD-437B939D9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61809" name="ddBorY16" hidden="1">
              <a:extLst>
                <a:ext uri="{63B3BB69-23CF-44E3-9099-C40C66FF867C}">
                  <a14:compatExt spid="_x0000_s161809"/>
                </a:ext>
                <a:ext uri="{FF2B5EF4-FFF2-40B4-BE49-F238E27FC236}">
                  <a16:creationId xmlns:a16="http://schemas.microsoft.com/office/drawing/2014/main" id="{58F96012-BA27-4B14-8EDB-18A255E56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61810" name="ddBorY17" hidden="1">
              <a:extLst>
                <a:ext uri="{63B3BB69-23CF-44E3-9099-C40C66FF867C}">
                  <a14:compatExt spid="_x0000_s161810"/>
                </a:ext>
                <a:ext uri="{FF2B5EF4-FFF2-40B4-BE49-F238E27FC236}">
                  <a16:creationId xmlns:a16="http://schemas.microsoft.com/office/drawing/2014/main" id="{1549A0A7-5EE1-4DE9-9DCC-CEC0E5EFB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61811" name="ddBorY18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9DE3D6EE-3C40-442C-9036-F38EFC140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61812" name="ddBorY19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C625DEBF-E35F-45B0-B52D-1C7EF6AE6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61813" name="ddBorY20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6FFC55B-FDAA-4DAB-8B29-98BCDFBFD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61814" name="ddBorY21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2A075BE0-84BE-49CA-A16B-2ECBC4692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61815" name="ddBorY22" hidden="1">
              <a:extLst>
                <a:ext uri="{63B3BB69-23CF-44E3-9099-C40C66FF867C}">
                  <a14:compatExt spid="_x0000_s161815"/>
                </a:ext>
                <a:ext uri="{FF2B5EF4-FFF2-40B4-BE49-F238E27FC236}">
                  <a16:creationId xmlns:a16="http://schemas.microsoft.com/office/drawing/2014/main" id="{442E4D9B-7AF1-4516-B406-1A7079111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61816" name="ddBorY23" hidden="1">
              <a:extLst>
                <a:ext uri="{63B3BB69-23CF-44E3-9099-C40C66FF867C}">
                  <a14:compatExt spid="_x0000_s161816"/>
                </a:ext>
                <a:ext uri="{FF2B5EF4-FFF2-40B4-BE49-F238E27FC236}">
                  <a16:creationId xmlns:a16="http://schemas.microsoft.com/office/drawing/2014/main" id="{540D9160-A22A-4894-A629-E195E93AE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61817" name="ddBorY24" hidden="1">
              <a:extLst>
                <a:ext uri="{63B3BB69-23CF-44E3-9099-C40C66FF867C}">
                  <a14:compatExt spid="_x0000_s161817"/>
                </a:ext>
                <a:ext uri="{FF2B5EF4-FFF2-40B4-BE49-F238E27FC236}">
                  <a16:creationId xmlns:a16="http://schemas.microsoft.com/office/drawing/2014/main" id="{F944BE90-1A4D-4CFA-A8CC-A2F55D668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61818" name="ddBorY25" hidden="1">
              <a:extLst>
                <a:ext uri="{63B3BB69-23CF-44E3-9099-C40C66FF867C}">
                  <a14:compatExt spid="_x0000_s161818"/>
                </a:ext>
                <a:ext uri="{FF2B5EF4-FFF2-40B4-BE49-F238E27FC236}">
                  <a16:creationId xmlns:a16="http://schemas.microsoft.com/office/drawing/2014/main" id="{DF848CBB-EA36-4C53-864A-E93D52235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61819" name="ddBorY26" hidden="1">
              <a:extLst>
                <a:ext uri="{63B3BB69-23CF-44E3-9099-C40C66FF867C}">
                  <a14:compatExt spid="_x0000_s161819"/>
                </a:ext>
                <a:ext uri="{FF2B5EF4-FFF2-40B4-BE49-F238E27FC236}">
                  <a16:creationId xmlns:a16="http://schemas.microsoft.com/office/drawing/2014/main" id="{30C47F65-4E66-4716-A735-C48E6709E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61820" name="ddBorY27" hidden="1">
              <a:extLst>
                <a:ext uri="{63B3BB69-23CF-44E3-9099-C40C66FF867C}">
                  <a14:compatExt spid="_x0000_s161820"/>
                </a:ext>
                <a:ext uri="{FF2B5EF4-FFF2-40B4-BE49-F238E27FC236}">
                  <a16:creationId xmlns:a16="http://schemas.microsoft.com/office/drawing/2014/main" id="{A69ECC58-EBD4-431A-A793-F6BB255BE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61821" name="ddBorY28" hidden="1">
              <a:extLst>
                <a:ext uri="{63B3BB69-23CF-44E3-9099-C40C66FF867C}">
                  <a14:compatExt spid="_x0000_s161821"/>
                </a:ext>
                <a:ext uri="{FF2B5EF4-FFF2-40B4-BE49-F238E27FC236}">
                  <a16:creationId xmlns:a16="http://schemas.microsoft.com/office/drawing/2014/main" id="{7EB150E2-E16C-465D-B398-4BD8AABFC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61822" name="ddBorY29" hidden="1">
              <a:extLst>
                <a:ext uri="{63B3BB69-23CF-44E3-9099-C40C66FF867C}">
                  <a14:compatExt spid="_x0000_s161822"/>
                </a:ext>
                <a:ext uri="{FF2B5EF4-FFF2-40B4-BE49-F238E27FC236}">
                  <a16:creationId xmlns:a16="http://schemas.microsoft.com/office/drawing/2014/main" id="{CE484283-3D33-427E-8A6F-27DDEE5F8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61823" name="ddBorY30" hidden="1">
              <a:extLst>
                <a:ext uri="{63B3BB69-23CF-44E3-9099-C40C66FF867C}">
                  <a14:compatExt spid="_x0000_s161823"/>
                </a:ext>
                <a:ext uri="{FF2B5EF4-FFF2-40B4-BE49-F238E27FC236}">
                  <a16:creationId xmlns:a16="http://schemas.microsoft.com/office/drawing/2014/main" id="{ADAB5FAB-9251-4AA7-9901-09631BC22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61824" name="ddBorY31" hidden="1">
              <a:extLst>
                <a:ext uri="{63B3BB69-23CF-44E3-9099-C40C66FF867C}">
                  <a14:compatExt spid="_x0000_s161824"/>
                </a:ext>
                <a:ext uri="{FF2B5EF4-FFF2-40B4-BE49-F238E27FC236}">
                  <a16:creationId xmlns:a16="http://schemas.microsoft.com/office/drawing/2014/main" id="{6B84382D-AAB0-44CC-A023-79192A53C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61825" name="ddBorY32" hidden="1">
              <a:extLst>
                <a:ext uri="{63B3BB69-23CF-44E3-9099-C40C66FF867C}">
                  <a14:compatExt spid="_x0000_s161825"/>
                </a:ext>
                <a:ext uri="{FF2B5EF4-FFF2-40B4-BE49-F238E27FC236}">
                  <a16:creationId xmlns:a16="http://schemas.microsoft.com/office/drawing/2014/main" id="{CA503F92-DCB6-4DF1-A9B6-84E422955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61826" name="ddBorY33" hidden="1">
              <a:extLst>
                <a:ext uri="{63B3BB69-23CF-44E3-9099-C40C66FF867C}">
                  <a14:compatExt spid="_x0000_s161826"/>
                </a:ext>
                <a:ext uri="{FF2B5EF4-FFF2-40B4-BE49-F238E27FC236}">
                  <a16:creationId xmlns:a16="http://schemas.microsoft.com/office/drawing/2014/main" id="{CBA02909-C72E-48E6-966E-7F97F9805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61827" name="ddBorY34" hidden="1">
              <a:extLst>
                <a:ext uri="{63B3BB69-23CF-44E3-9099-C40C66FF867C}">
                  <a14:compatExt spid="_x0000_s161827"/>
                </a:ext>
                <a:ext uri="{FF2B5EF4-FFF2-40B4-BE49-F238E27FC236}">
                  <a16:creationId xmlns:a16="http://schemas.microsoft.com/office/drawing/2014/main" id="{6CC2F315-C2EA-49E9-A32B-AB1C9C9C2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61828" name="ddBorY35" hidden="1">
              <a:extLst>
                <a:ext uri="{63B3BB69-23CF-44E3-9099-C40C66FF867C}">
                  <a14:compatExt spid="_x0000_s161828"/>
                </a:ext>
                <a:ext uri="{FF2B5EF4-FFF2-40B4-BE49-F238E27FC236}">
                  <a16:creationId xmlns:a16="http://schemas.microsoft.com/office/drawing/2014/main" id="{5639BF32-A5EE-4EBE-8B7C-DDEADACB6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61829" name="ddBorY36" hidden="1">
              <a:extLst>
                <a:ext uri="{63B3BB69-23CF-44E3-9099-C40C66FF867C}">
                  <a14:compatExt spid="_x0000_s161829"/>
                </a:ext>
                <a:ext uri="{FF2B5EF4-FFF2-40B4-BE49-F238E27FC236}">
                  <a16:creationId xmlns:a16="http://schemas.microsoft.com/office/drawing/2014/main" id="{E594CA86-9F11-49D4-94DA-D7C06691F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61830" name="ddBorY37" hidden="1">
              <a:extLst>
                <a:ext uri="{63B3BB69-23CF-44E3-9099-C40C66FF867C}">
                  <a14:compatExt spid="_x0000_s161830"/>
                </a:ext>
                <a:ext uri="{FF2B5EF4-FFF2-40B4-BE49-F238E27FC236}">
                  <a16:creationId xmlns:a16="http://schemas.microsoft.com/office/drawing/2014/main" id="{3316F732-77D8-442E-84C7-E13872ACB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61831" name="ddBorY38" hidden="1">
              <a:extLst>
                <a:ext uri="{63B3BB69-23CF-44E3-9099-C40C66FF867C}">
                  <a14:compatExt spid="_x0000_s161831"/>
                </a:ext>
                <a:ext uri="{FF2B5EF4-FFF2-40B4-BE49-F238E27FC236}">
                  <a16:creationId xmlns:a16="http://schemas.microsoft.com/office/drawing/2014/main" id="{F50576C2-55CF-40E4-8E61-538A94216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61832" name="ddBorY39" hidden="1">
              <a:extLst>
                <a:ext uri="{63B3BB69-23CF-44E3-9099-C40C66FF867C}">
                  <a14:compatExt spid="_x0000_s161832"/>
                </a:ext>
                <a:ext uri="{FF2B5EF4-FFF2-40B4-BE49-F238E27FC236}">
                  <a16:creationId xmlns:a16="http://schemas.microsoft.com/office/drawing/2014/main" id="{029ACD85-62CF-476F-B136-0EC52875A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61833" name="ddBorY40" hidden="1">
              <a:extLst>
                <a:ext uri="{63B3BB69-23CF-44E3-9099-C40C66FF867C}">
                  <a14:compatExt spid="_x0000_s161833"/>
                </a:ext>
                <a:ext uri="{FF2B5EF4-FFF2-40B4-BE49-F238E27FC236}">
                  <a16:creationId xmlns:a16="http://schemas.microsoft.com/office/drawing/2014/main" id="{452E1691-4961-417A-8388-9A1E949E8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61834" name="ddBorY41" hidden="1">
              <a:extLst>
                <a:ext uri="{63B3BB69-23CF-44E3-9099-C40C66FF867C}">
                  <a14:compatExt spid="_x0000_s161834"/>
                </a:ext>
                <a:ext uri="{FF2B5EF4-FFF2-40B4-BE49-F238E27FC236}">
                  <a16:creationId xmlns:a16="http://schemas.microsoft.com/office/drawing/2014/main" id="{A5E1A363-4554-4318-98B6-153B9D558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61835" name="ddBorY42" hidden="1">
              <a:extLst>
                <a:ext uri="{63B3BB69-23CF-44E3-9099-C40C66FF867C}">
                  <a14:compatExt spid="_x0000_s161835"/>
                </a:ext>
                <a:ext uri="{FF2B5EF4-FFF2-40B4-BE49-F238E27FC236}">
                  <a16:creationId xmlns:a16="http://schemas.microsoft.com/office/drawing/2014/main" id="{68FA0BB3-74FB-4484-B843-969C51881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61836" name="ddBorY43" hidden="1">
              <a:extLst>
                <a:ext uri="{63B3BB69-23CF-44E3-9099-C40C66FF867C}">
                  <a14:compatExt spid="_x0000_s161836"/>
                </a:ext>
                <a:ext uri="{FF2B5EF4-FFF2-40B4-BE49-F238E27FC236}">
                  <a16:creationId xmlns:a16="http://schemas.microsoft.com/office/drawing/2014/main" id="{AFFD7932-2453-4B2F-879F-98214C7CE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61837" name="ddBorY44" hidden="1">
              <a:extLst>
                <a:ext uri="{63B3BB69-23CF-44E3-9099-C40C66FF867C}">
                  <a14:compatExt spid="_x0000_s161837"/>
                </a:ext>
                <a:ext uri="{FF2B5EF4-FFF2-40B4-BE49-F238E27FC236}">
                  <a16:creationId xmlns:a16="http://schemas.microsoft.com/office/drawing/2014/main" id="{B1E7FCD6-9B10-49D0-9A02-9763B3525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61838" name="ddBorY45" hidden="1">
              <a:extLst>
                <a:ext uri="{63B3BB69-23CF-44E3-9099-C40C66FF867C}">
                  <a14:compatExt spid="_x0000_s161838"/>
                </a:ext>
                <a:ext uri="{FF2B5EF4-FFF2-40B4-BE49-F238E27FC236}">
                  <a16:creationId xmlns:a16="http://schemas.microsoft.com/office/drawing/2014/main" id="{46AD5CE2-A12B-4E89-B0B5-B76DE0F6A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61839" name="ddBorY46" hidden="1">
              <a:extLst>
                <a:ext uri="{63B3BB69-23CF-44E3-9099-C40C66FF867C}">
                  <a14:compatExt spid="_x0000_s161839"/>
                </a:ext>
                <a:ext uri="{FF2B5EF4-FFF2-40B4-BE49-F238E27FC236}">
                  <a16:creationId xmlns:a16="http://schemas.microsoft.com/office/drawing/2014/main" id="{CBA84E2F-4E5D-4E90-A69A-4AF23AA3D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61840" name="ddBorY47" hidden="1">
              <a:extLst>
                <a:ext uri="{63B3BB69-23CF-44E3-9099-C40C66FF867C}">
                  <a14:compatExt spid="_x0000_s161840"/>
                </a:ext>
                <a:ext uri="{FF2B5EF4-FFF2-40B4-BE49-F238E27FC236}">
                  <a16:creationId xmlns:a16="http://schemas.microsoft.com/office/drawing/2014/main" id="{E4074AC1-0F03-487F-BFDC-1B8EF8567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61841" name="ddBorY48" hidden="1">
              <a:extLst>
                <a:ext uri="{63B3BB69-23CF-44E3-9099-C40C66FF867C}">
                  <a14:compatExt spid="_x0000_s161841"/>
                </a:ext>
                <a:ext uri="{FF2B5EF4-FFF2-40B4-BE49-F238E27FC236}">
                  <a16:creationId xmlns:a16="http://schemas.microsoft.com/office/drawing/2014/main" id="{A1499728-516C-4A75-A47D-69FF6930B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61842" name="ddBorY49" hidden="1">
              <a:extLst>
                <a:ext uri="{63B3BB69-23CF-44E3-9099-C40C66FF867C}">
                  <a14:compatExt spid="_x0000_s161842"/>
                </a:ext>
                <a:ext uri="{FF2B5EF4-FFF2-40B4-BE49-F238E27FC236}">
                  <a16:creationId xmlns:a16="http://schemas.microsoft.com/office/drawing/2014/main" id="{063076E9-7DB8-40DF-B7F0-02D6E90C2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61843" name="ddBorY50" hidden="1">
              <a:extLst>
                <a:ext uri="{63B3BB69-23CF-44E3-9099-C40C66FF867C}">
                  <a14:compatExt spid="_x0000_s161843"/>
                </a:ext>
                <a:ext uri="{FF2B5EF4-FFF2-40B4-BE49-F238E27FC236}">
                  <a16:creationId xmlns:a16="http://schemas.microsoft.com/office/drawing/2014/main" id="{C8CD366B-F616-4181-8FCF-610544776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1844" name="ddInd1" hidden="1">
              <a:extLst>
                <a:ext uri="{63B3BB69-23CF-44E3-9099-C40C66FF867C}">
                  <a14:compatExt spid="_x0000_s161844"/>
                </a:ext>
                <a:ext uri="{FF2B5EF4-FFF2-40B4-BE49-F238E27FC236}">
                  <a16:creationId xmlns:a16="http://schemas.microsoft.com/office/drawing/2014/main" id="{61247EDF-C88B-4B16-9FE4-61134E150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61845" name="ddSliq" hidden="1">
              <a:extLst>
                <a:ext uri="{63B3BB69-23CF-44E3-9099-C40C66FF867C}">
                  <a14:compatExt spid="_x0000_s161845"/>
                </a:ext>
                <a:ext uri="{FF2B5EF4-FFF2-40B4-BE49-F238E27FC236}">
                  <a16:creationId xmlns:a16="http://schemas.microsoft.com/office/drawing/2014/main" id="{0ED3A304-F095-45EF-BB0F-E42569817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1846" name="ddCuni1" hidden="1">
              <a:extLst>
                <a:ext uri="{63B3BB69-23CF-44E3-9099-C40C66FF867C}">
                  <a14:compatExt spid="_x0000_s161846"/>
                </a:ext>
                <a:ext uri="{FF2B5EF4-FFF2-40B4-BE49-F238E27FC236}">
                  <a16:creationId xmlns:a16="http://schemas.microsoft.com/office/drawing/2014/main" id="{09BC3870-2ACE-4367-8E88-1A472B019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61847" name="ddCyn1" hidden="1">
              <a:extLst>
                <a:ext uri="{63B3BB69-23CF-44E3-9099-C40C66FF867C}">
                  <a14:compatExt spid="_x0000_s161847"/>
                </a:ext>
                <a:ext uri="{FF2B5EF4-FFF2-40B4-BE49-F238E27FC236}">
                  <a16:creationId xmlns:a16="http://schemas.microsoft.com/office/drawing/2014/main" id="{88F8CEC2-80AB-4916-B4E9-3D89EA0C3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1848" name="ddCuni2" hidden="1">
              <a:extLst>
                <a:ext uri="{63B3BB69-23CF-44E3-9099-C40C66FF867C}">
                  <a14:compatExt spid="_x0000_s161848"/>
                </a:ext>
                <a:ext uri="{FF2B5EF4-FFF2-40B4-BE49-F238E27FC236}">
                  <a16:creationId xmlns:a16="http://schemas.microsoft.com/office/drawing/2014/main" id="{35F7E2AB-A95E-4A09-8217-6232F760A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1849" name="ddCyn2" hidden="1">
              <a:extLst>
                <a:ext uri="{63B3BB69-23CF-44E3-9099-C40C66FF867C}">
                  <a14:compatExt spid="_x0000_s161849"/>
                </a:ext>
                <a:ext uri="{FF2B5EF4-FFF2-40B4-BE49-F238E27FC236}">
                  <a16:creationId xmlns:a16="http://schemas.microsoft.com/office/drawing/2014/main" id="{ED03DCA3-970F-41D5-A2C4-CAA66F035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1850" name="ddCuni3" hidden="1">
              <a:extLst>
                <a:ext uri="{63B3BB69-23CF-44E3-9099-C40C66FF867C}">
                  <a14:compatExt spid="_x0000_s161850"/>
                </a:ext>
                <a:ext uri="{FF2B5EF4-FFF2-40B4-BE49-F238E27FC236}">
                  <a16:creationId xmlns:a16="http://schemas.microsoft.com/office/drawing/2014/main" id="{C5088751-D3B4-4848-93F4-F97015F49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1851" name="ddCyn3" hidden="1">
              <a:extLst>
                <a:ext uri="{63B3BB69-23CF-44E3-9099-C40C66FF867C}">
                  <a14:compatExt spid="_x0000_s161851"/>
                </a:ext>
                <a:ext uri="{FF2B5EF4-FFF2-40B4-BE49-F238E27FC236}">
                  <a16:creationId xmlns:a16="http://schemas.microsoft.com/office/drawing/2014/main" id="{792C9EA8-1E8A-42C4-AAF0-992793195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1852" name="ddCuni4" hidden="1">
              <a:extLst>
                <a:ext uri="{63B3BB69-23CF-44E3-9099-C40C66FF867C}">
                  <a14:compatExt spid="_x0000_s161852"/>
                </a:ext>
                <a:ext uri="{FF2B5EF4-FFF2-40B4-BE49-F238E27FC236}">
                  <a16:creationId xmlns:a16="http://schemas.microsoft.com/office/drawing/2014/main" id="{1810CC7F-96D3-4099-961B-4311940DB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1853" name="ddCyn4" hidden="1">
              <a:extLst>
                <a:ext uri="{63B3BB69-23CF-44E3-9099-C40C66FF867C}">
                  <a14:compatExt spid="_x0000_s161853"/>
                </a:ext>
                <a:ext uri="{FF2B5EF4-FFF2-40B4-BE49-F238E27FC236}">
                  <a16:creationId xmlns:a16="http://schemas.microsoft.com/office/drawing/2014/main" id="{5B89C1C1-0A63-4979-AEA1-E5BCCB767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1854" name="ddCuni5" hidden="1">
              <a:extLst>
                <a:ext uri="{63B3BB69-23CF-44E3-9099-C40C66FF867C}">
                  <a14:compatExt spid="_x0000_s161854"/>
                </a:ext>
                <a:ext uri="{FF2B5EF4-FFF2-40B4-BE49-F238E27FC236}">
                  <a16:creationId xmlns:a16="http://schemas.microsoft.com/office/drawing/2014/main" id="{9C47AED5-E7F6-4C43-9E85-F4133A941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1855" name="ddCyn5" hidden="1">
              <a:extLst>
                <a:ext uri="{63B3BB69-23CF-44E3-9099-C40C66FF867C}">
                  <a14:compatExt spid="_x0000_s161855"/>
                </a:ext>
                <a:ext uri="{FF2B5EF4-FFF2-40B4-BE49-F238E27FC236}">
                  <a16:creationId xmlns:a16="http://schemas.microsoft.com/office/drawing/2014/main" id="{B9188C4D-FAF9-4821-99CB-A3332AB56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61856" name="ddCuni6" hidden="1">
              <a:extLst>
                <a:ext uri="{63B3BB69-23CF-44E3-9099-C40C66FF867C}">
                  <a14:compatExt spid="_x0000_s161856"/>
                </a:ext>
                <a:ext uri="{FF2B5EF4-FFF2-40B4-BE49-F238E27FC236}">
                  <a16:creationId xmlns:a16="http://schemas.microsoft.com/office/drawing/2014/main" id="{1D179D47-09BC-492F-9A45-D68FD6B58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61857" name="ddCyn6" hidden="1">
              <a:extLst>
                <a:ext uri="{63B3BB69-23CF-44E3-9099-C40C66FF867C}">
                  <a14:compatExt spid="_x0000_s161857"/>
                </a:ext>
                <a:ext uri="{FF2B5EF4-FFF2-40B4-BE49-F238E27FC236}">
                  <a16:creationId xmlns:a16="http://schemas.microsoft.com/office/drawing/2014/main" id="{BEC170AE-3FB2-49C1-B0C0-44BCD0C5B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ECB27067-3A11-4C79-9BBE-4222C2D083CE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8FD18F1A-5F73-406D-8CD7-8E881AF3D08D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AFDC51E5-7BEA-4C75-A0CC-F84BFACE310C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362334B5-7F9E-4862-8F83-B1C8C8A47057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44AEA16F-35AC-4F7F-A74B-F0B3EE94335F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3841" name="ddInd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BE683D5A-E07B-4046-B131-FBC9F90C6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3842" name="ddInd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73D6A114-D83E-451F-AB34-5599F4561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3843" name="ddCuni1" hidden="1">
              <a:extLst>
                <a:ext uri="{63B3BB69-23CF-44E3-9099-C40C66FF867C}">
                  <a14:compatExt spid="_x0000_s163843"/>
                </a:ext>
                <a:ext uri="{FF2B5EF4-FFF2-40B4-BE49-F238E27FC236}">
                  <a16:creationId xmlns:a16="http://schemas.microsoft.com/office/drawing/2014/main" id="{3CEFBB14-1A8A-4EEE-8EE5-5B41EE464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3844" name="ddCyn1" hidden="1">
              <a:extLst>
                <a:ext uri="{63B3BB69-23CF-44E3-9099-C40C66FF867C}">
                  <a14:compatExt spid="_x0000_s163844"/>
                </a:ext>
                <a:ext uri="{FF2B5EF4-FFF2-40B4-BE49-F238E27FC236}">
                  <a16:creationId xmlns:a16="http://schemas.microsoft.com/office/drawing/2014/main" id="{997849BA-6E5E-498B-AAEC-0EDD33338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3845" name="ddCuni2" hidden="1">
              <a:extLst>
                <a:ext uri="{63B3BB69-23CF-44E3-9099-C40C66FF867C}">
                  <a14:compatExt spid="_x0000_s163845"/>
                </a:ext>
                <a:ext uri="{FF2B5EF4-FFF2-40B4-BE49-F238E27FC236}">
                  <a16:creationId xmlns:a16="http://schemas.microsoft.com/office/drawing/2014/main" id="{D4BC1FCE-8AF8-45A2-8B36-A87CA15A9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3846" name="ddCyn2" hidden="1">
              <a:extLst>
                <a:ext uri="{63B3BB69-23CF-44E3-9099-C40C66FF867C}">
                  <a14:compatExt spid="_x0000_s163846"/>
                </a:ext>
                <a:ext uri="{FF2B5EF4-FFF2-40B4-BE49-F238E27FC236}">
                  <a16:creationId xmlns:a16="http://schemas.microsoft.com/office/drawing/2014/main" id="{15396A93-87E5-4886-A832-1FCDA366A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3847" name="ddCuni3" hidden="1">
              <a:extLst>
                <a:ext uri="{63B3BB69-23CF-44E3-9099-C40C66FF867C}">
                  <a14:compatExt spid="_x0000_s163847"/>
                </a:ext>
                <a:ext uri="{FF2B5EF4-FFF2-40B4-BE49-F238E27FC236}">
                  <a16:creationId xmlns:a16="http://schemas.microsoft.com/office/drawing/2014/main" id="{12B986D6-3DC3-466A-9D64-75FC56BCA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3848" name="ddCyn3" hidden="1">
              <a:extLst>
                <a:ext uri="{63B3BB69-23CF-44E3-9099-C40C66FF867C}">
                  <a14:compatExt spid="_x0000_s163848"/>
                </a:ext>
                <a:ext uri="{FF2B5EF4-FFF2-40B4-BE49-F238E27FC236}">
                  <a16:creationId xmlns:a16="http://schemas.microsoft.com/office/drawing/2014/main" id="{817EA218-92B6-4A90-992D-31A4A0847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3849" name="ddCuni4" hidden="1">
              <a:extLst>
                <a:ext uri="{63B3BB69-23CF-44E3-9099-C40C66FF867C}">
                  <a14:compatExt spid="_x0000_s163849"/>
                </a:ext>
                <a:ext uri="{FF2B5EF4-FFF2-40B4-BE49-F238E27FC236}">
                  <a16:creationId xmlns:a16="http://schemas.microsoft.com/office/drawing/2014/main" id="{FB35F34A-7F0E-4E5F-9954-19922491E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3850" name="ddCyn4" hidden="1">
              <a:extLst>
                <a:ext uri="{63B3BB69-23CF-44E3-9099-C40C66FF867C}">
                  <a14:compatExt spid="_x0000_s163850"/>
                </a:ext>
                <a:ext uri="{FF2B5EF4-FFF2-40B4-BE49-F238E27FC236}">
                  <a16:creationId xmlns:a16="http://schemas.microsoft.com/office/drawing/2014/main" id="{89285BF8-ED74-41FF-A296-321A7EA35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6600B6F6-774C-4B75-BD95-692BF1922B92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B4B4B71D-2DCC-4436-A562-F95FC1B17DEA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84A55A86-4D5F-4DF6-8981-C5545EEB5625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2C26FCD6-D803-4B83-893D-75C8801CD985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0F0BF4A0-6DE6-4632-BC42-2045B2B2DA36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4865" name="ddInd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8EBD43DC-F944-4785-91C3-50E1DA3C9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4866" name="ddInd2" hidden="1">
              <a:extLst>
                <a:ext uri="{63B3BB69-23CF-44E3-9099-C40C66FF867C}">
                  <a14:compatExt spid="_x0000_s164866"/>
                </a:ext>
                <a:ext uri="{FF2B5EF4-FFF2-40B4-BE49-F238E27FC236}">
                  <a16:creationId xmlns:a16="http://schemas.microsoft.com/office/drawing/2014/main" id="{D4E506B8-E0B3-476C-81DD-37FDAF3CB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4867" name="ddCuni1" hidden="1">
              <a:extLst>
                <a:ext uri="{63B3BB69-23CF-44E3-9099-C40C66FF867C}">
                  <a14:compatExt spid="_x0000_s164867"/>
                </a:ext>
                <a:ext uri="{FF2B5EF4-FFF2-40B4-BE49-F238E27FC236}">
                  <a16:creationId xmlns:a16="http://schemas.microsoft.com/office/drawing/2014/main" id="{C3D7B191-ACC3-4F43-882B-7972D3495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4868" name="ddCyn1" hidden="1">
              <a:extLst>
                <a:ext uri="{63B3BB69-23CF-44E3-9099-C40C66FF867C}">
                  <a14:compatExt spid="_x0000_s164868"/>
                </a:ext>
                <a:ext uri="{FF2B5EF4-FFF2-40B4-BE49-F238E27FC236}">
                  <a16:creationId xmlns:a16="http://schemas.microsoft.com/office/drawing/2014/main" id="{7795A8BF-F4E7-4B67-9B0D-F9F1FEBCF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4869" name="ddCuni2" hidden="1">
              <a:extLst>
                <a:ext uri="{63B3BB69-23CF-44E3-9099-C40C66FF867C}">
                  <a14:compatExt spid="_x0000_s164869"/>
                </a:ext>
                <a:ext uri="{FF2B5EF4-FFF2-40B4-BE49-F238E27FC236}">
                  <a16:creationId xmlns:a16="http://schemas.microsoft.com/office/drawing/2014/main" id="{2F802A0D-83EC-4125-B31F-22C4F1F35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4870" name="ddCyn2" hidden="1">
              <a:extLst>
                <a:ext uri="{63B3BB69-23CF-44E3-9099-C40C66FF867C}">
                  <a14:compatExt spid="_x0000_s164870"/>
                </a:ext>
                <a:ext uri="{FF2B5EF4-FFF2-40B4-BE49-F238E27FC236}">
                  <a16:creationId xmlns:a16="http://schemas.microsoft.com/office/drawing/2014/main" id="{DD4919C0-8179-42C7-B10E-DF1F0DF2B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4871" name="ddCuni3" hidden="1">
              <a:extLst>
                <a:ext uri="{63B3BB69-23CF-44E3-9099-C40C66FF867C}">
                  <a14:compatExt spid="_x0000_s164871"/>
                </a:ext>
                <a:ext uri="{FF2B5EF4-FFF2-40B4-BE49-F238E27FC236}">
                  <a16:creationId xmlns:a16="http://schemas.microsoft.com/office/drawing/2014/main" id="{BA7713BC-7E85-4FB7-988C-833A9038E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4872" name="ddCyn3" hidden="1">
              <a:extLst>
                <a:ext uri="{63B3BB69-23CF-44E3-9099-C40C66FF867C}">
                  <a14:compatExt spid="_x0000_s164872"/>
                </a:ext>
                <a:ext uri="{FF2B5EF4-FFF2-40B4-BE49-F238E27FC236}">
                  <a16:creationId xmlns:a16="http://schemas.microsoft.com/office/drawing/2014/main" id="{E7450BD5-4966-496E-A2BF-F49C615D5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4873" name="ddCuni4" hidden="1">
              <a:extLst>
                <a:ext uri="{63B3BB69-23CF-44E3-9099-C40C66FF867C}">
                  <a14:compatExt spid="_x0000_s164873"/>
                </a:ext>
                <a:ext uri="{FF2B5EF4-FFF2-40B4-BE49-F238E27FC236}">
                  <a16:creationId xmlns:a16="http://schemas.microsoft.com/office/drawing/2014/main" id="{37EA7C01-D6D7-4088-B23D-CF9278ECB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4874" name="ddCyn4" hidden="1">
              <a:extLst>
                <a:ext uri="{63B3BB69-23CF-44E3-9099-C40C66FF867C}">
                  <a14:compatExt spid="_x0000_s164874"/>
                </a:ext>
                <a:ext uri="{FF2B5EF4-FFF2-40B4-BE49-F238E27FC236}">
                  <a16:creationId xmlns:a16="http://schemas.microsoft.com/office/drawing/2014/main" id="{AACC6F4A-2E6C-43CF-8562-F362C9BBB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18F9F6F7-E77A-444A-A7C7-550C98F2709B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041EF028-6E83-4BC8-8851-AAA324034FD9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92CD73D1-FB70-4BED-99AC-60D73858D17F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4D05A5F5-25E2-4969-8733-BEC00FACD969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15402539-F8F5-4CE9-9F52-04BC88A8BD9C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66913" name="ddTres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E0471AD7-2E59-4D44-9FFF-F0455765D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66914" name="ddBorY1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477B34CE-6142-42C4-9D10-4C7E2FBF4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66915" name="ddBorY2" hidden="1">
              <a:extLst>
                <a:ext uri="{63B3BB69-23CF-44E3-9099-C40C66FF867C}">
                  <a14:compatExt spid="_x0000_s166915"/>
                </a:ext>
                <a:ext uri="{FF2B5EF4-FFF2-40B4-BE49-F238E27FC236}">
                  <a16:creationId xmlns:a16="http://schemas.microsoft.com/office/drawing/2014/main" id="{659E2C7F-71CD-454E-A53D-6504C4045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66916" name="ddBorY3" hidden="1">
              <a:extLst>
                <a:ext uri="{63B3BB69-23CF-44E3-9099-C40C66FF867C}">
                  <a14:compatExt spid="_x0000_s166916"/>
                </a:ext>
                <a:ext uri="{FF2B5EF4-FFF2-40B4-BE49-F238E27FC236}">
                  <a16:creationId xmlns:a16="http://schemas.microsoft.com/office/drawing/2014/main" id="{4A198701-C989-41A0-B045-AE3C408B4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66917" name="ddBorY4" hidden="1">
              <a:extLst>
                <a:ext uri="{63B3BB69-23CF-44E3-9099-C40C66FF867C}">
                  <a14:compatExt spid="_x0000_s166917"/>
                </a:ext>
                <a:ext uri="{FF2B5EF4-FFF2-40B4-BE49-F238E27FC236}">
                  <a16:creationId xmlns:a16="http://schemas.microsoft.com/office/drawing/2014/main" id="{4668D639-508D-456E-A649-73D35CBB1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66918" name="ddBorY5" hidden="1">
              <a:extLst>
                <a:ext uri="{63B3BB69-23CF-44E3-9099-C40C66FF867C}">
                  <a14:compatExt spid="_x0000_s166918"/>
                </a:ext>
                <a:ext uri="{FF2B5EF4-FFF2-40B4-BE49-F238E27FC236}">
                  <a16:creationId xmlns:a16="http://schemas.microsoft.com/office/drawing/2014/main" id="{C4872412-50FF-4B26-9466-A54552DB5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66919" name="ddBorY6" hidden="1">
              <a:extLst>
                <a:ext uri="{63B3BB69-23CF-44E3-9099-C40C66FF867C}">
                  <a14:compatExt spid="_x0000_s166919"/>
                </a:ext>
                <a:ext uri="{FF2B5EF4-FFF2-40B4-BE49-F238E27FC236}">
                  <a16:creationId xmlns:a16="http://schemas.microsoft.com/office/drawing/2014/main" id="{9DE32C14-5E6A-4229-9A46-E626AE005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66920" name="ddBorY7" hidden="1">
              <a:extLst>
                <a:ext uri="{63B3BB69-23CF-44E3-9099-C40C66FF867C}">
                  <a14:compatExt spid="_x0000_s166920"/>
                </a:ext>
                <a:ext uri="{FF2B5EF4-FFF2-40B4-BE49-F238E27FC236}">
                  <a16:creationId xmlns:a16="http://schemas.microsoft.com/office/drawing/2014/main" id="{7C48289D-5D82-4CB2-BC70-FBE9D0A69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66921" name="ddBorY8" hidden="1">
              <a:extLst>
                <a:ext uri="{63B3BB69-23CF-44E3-9099-C40C66FF867C}">
                  <a14:compatExt spid="_x0000_s166921"/>
                </a:ext>
                <a:ext uri="{FF2B5EF4-FFF2-40B4-BE49-F238E27FC236}">
                  <a16:creationId xmlns:a16="http://schemas.microsoft.com/office/drawing/2014/main" id="{C55930F0-0A48-41A2-B493-9BB2CE48F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66922" name="ddBorY9" hidden="1">
              <a:extLst>
                <a:ext uri="{63B3BB69-23CF-44E3-9099-C40C66FF867C}">
                  <a14:compatExt spid="_x0000_s166922"/>
                </a:ext>
                <a:ext uri="{FF2B5EF4-FFF2-40B4-BE49-F238E27FC236}">
                  <a16:creationId xmlns:a16="http://schemas.microsoft.com/office/drawing/2014/main" id="{5F7538EA-4DC6-41E9-A6E0-8E307A5BE7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66923" name="ddBorY10" hidden="1">
              <a:extLst>
                <a:ext uri="{63B3BB69-23CF-44E3-9099-C40C66FF867C}">
                  <a14:compatExt spid="_x0000_s166923"/>
                </a:ext>
                <a:ext uri="{FF2B5EF4-FFF2-40B4-BE49-F238E27FC236}">
                  <a16:creationId xmlns:a16="http://schemas.microsoft.com/office/drawing/2014/main" id="{81867F8F-176F-4126-B054-3ACCC2609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66924" name="ddBorY11" hidden="1">
              <a:extLst>
                <a:ext uri="{63B3BB69-23CF-44E3-9099-C40C66FF867C}">
                  <a14:compatExt spid="_x0000_s166924"/>
                </a:ext>
                <a:ext uri="{FF2B5EF4-FFF2-40B4-BE49-F238E27FC236}">
                  <a16:creationId xmlns:a16="http://schemas.microsoft.com/office/drawing/2014/main" id="{503909A8-E020-483C-8B50-788F103A1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66925" name="ddBorY12" hidden="1">
              <a:extLst>
                <a:ext uri="{63B3BB69-23CF-44E3-9099-C40C66FF867C}">
                  <a14:compatExt spid="_x0000_s166925"/>
                </a:ext>
                <a:ext uri="{FF2B5EF4-FFF2-40B4-BE49-F238E27FC236}">
                  <a16:creationId xmlns:a16="http://schemas.microsoft.com/office/drawing/2014/main" id="{6FDE6241-665F-45C5-9DB5-AF66586D9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66926" name="ddBorY13" hidden="1">
              <a:extLst>
                <a:ext uri="{63B3BB69-23CF-44E3-9099-C40C66FF867C}">
                  <a14:compatExt spid="_x0000_s166926"/>
                </a:ext>
                <a:ext uri="{FF2B5EF4-FFF2-40B4-BE49-F238E27FC236}">
                  <a16:creationId xmlns:a16="http://schemas.microsoft.com/office/drawing/2014/main" id="{DADF9E83-27D8-4834-99B4-3B14ADDA2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66927" name="ddBorY14" hidden="1">
              <a:extLst>
                <a:ext uri="{63B3BB69-23CF-44E3-9099-C40C66FF867C}">
                  <a14:compatExt spid="_x0000_s166927"/>
                </a:ext>
                <a:ext uri="{FF2B5EF4-FFF2-40B4-BE49-F238E27FC236}">
                  <a16:creationId xmlns:a16="http://schemas.microsoft.com/office/drawing/2014/main" id="{818ED5BC-D811-46F7-B29A-9F4864E90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66928" name="ddBorY15" hidden="1">
              <a:extLst>
                <a:ext uri="{63B3BB69-23CF-44E3-9099-C40C66FF867C}">
                  <a14:compatExt spid="_x0000_s166928"/>
                </a:ext>
                <a:ext uri="{FF2B5EF4-FFF2-40B4-BE49-F238E27FC236}">
                  <a16:creationId xmlns:a16="http://schemas.microsoft.com/office/drawing/2014/main" id="{75803F17-FFE0-494F-8B46-5D5A079DB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66929" name="ddBorY16" hidden="1">
              <a:extLst>
                <a:ext uri="{63B3BB69-23CF-44E3-9099-C40C66FF867C}">
                  <a14:compatExt spid="_x0000_s166929"/>
                </a:ext>
                <a:ext uri="{FF2B5EF4-FFF2-40B4-BE49-F238E27FC236}">
                  <a16:creationId xmlns:a16="http://schemas.microsoft.com/office/drawing/2014/main" id="{C8FA60CF-1EFD-49DA-AC2C-01020C7C9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66930" name="ddBorY17" hidden="1">
              <a:extLst>
                <a:ext uri="{63B3BB69-23CF-44E3-9099-C40C66FF867C}">
                  <a14:compatExt spid="_x0000_s166930"/>
                </a:ext>
                <a:ext uri="{FF2B5EF4-FFF2-40B4-BE49-F238E27FC236}">
                  <a16:creationId xmlns:a16="http://schemas.microsoft.com/office/drawing/2014/main" id="{399932F1-7704-407A-ADAF-3C2BC06E5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66931" name="ddBorY18" hidden="1">
              <a:extLst>
                <a:ext uri="{63B3BB69-23CF-44E3-9099-C40C66FF867C}">
                  <a14:compatExt spid="_x0000_s166931"/>
                </a:ext>
                <a:ext uri="{FF2B5EF4-FFF2-40B4-BE49-F238E27FC236}">
                  <a16:creationId xmlns:a16="http://schemas.microsoft.com/office/drawing/2014/main" id="{2A00A024-27A5-42E2-864F-26233D8DB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66932" name="ddBorY19" hidden="1">
              <a:extLst>
                <a:ext uri="{63B3BB69-23CF-44E3-9099-C40C66FF867C}">
                  <a14:compatExt spid="_x0000_s166932"/>
                </a:ext>
                <a:ext uri="{FF2B5EF4-FFF2-40B4-BE49-F238E27FC236}">
                  <a16:creationId xmlns:a16="http://schemas.microsoft.com/office/drawing/2014/main" id="{A1340A33-566A-4237-9C75-9B3D5AB72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66933" name="ddBorY20" hidden="1">
              <a:extLst>
                <a:ext uri="{63B3BB69-23CF-44E3-9099-C40C66FF867C}">
                  <a14:compatExt spid="_x0000_s166933"/>
                </a:ext>
                <a:ext uri="{FF2B5EF4-FFF2-40B4-BE49-F238E27FC236}">
                  <a16:creationId xmlns:a16="http://schemas.microsoft.com/office/drawing/2014/main" id="{FABC69BC-CCF3-4173-82BA-B1B6E07E7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66934" name="ddBorY21" hidden="1">
              <a:extLst>
                <a:ext uri="{63B3BB69-23CF-44E3-9099-C40C66FF867C}">
                  <a14:compatExt spid="_x0000_s166934"/>
                </a:ext>
                <a:ext uri="{FF2B5EF4-FFF2-40B4-BE49-F238E27FC236}">
                  <a16:creationId xmlns:a16="http://schemas.microsoft.com/office/drawing/2014/main" id="{67C8FFC2-8D29-4633-A5CF-A1D93E5AF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66935" name="ddBorY22" hidden="1">
              <a:extLst>
                <a:ext uri="{63B3BB69-23CF-44E3-9099-C40C66FF867C}">
                  <a14:compatExt spid="_x0000_s166935"/>
                </a:ext>
                <a:ext uri="{FF2B5EF4-FFF2-40B4-BE49-F238E27FC236}">
                  <a16:creationId xmlns:a16="http://schemas.microsoft.com/office/drawing/2014/main" id="{36FDBA57-124E-4999-8DA0-A39B158A1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66936" name="ddBorY23" hidden="1">
              <a:extLst>
                <a:ext uri="{63B3BB69-23CF-44E3-9099-C40C66FF867C}">
                  <a14:compatExt spid="_x0000_s166936"/>
                </a:ext>
                <a:ext uri="{FF2B5EF4-FFF2-40B4-BE49-F238E27FC236}">
                  <a16:creationId xmlns:a16="http://schemas.microsoft.com/office/drawing/2014/main" id="{5AF23968-5F21-4F5B-BCCB-E06043275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66937" name="ddBorY24" hidden="1">
              <a:extLst>
                <a:ext uri="{63B3BB69-23CF-44E3-9099-C40C66FF867C}">
                  <a14:compatExt spid="_x0000_s166937"/>
                </a:ext>
                <a:ext uri="{FF2B5EF4-FFF2-40B4-BE49-F238E27FC236}">
                  <a16:creationId xmlns:a16="http://schemas.microsoft.com/office/drawing/2014/main" id="{9D99578C-0749-483F-AC3A-56222A653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66938" name="ddBorY25" hidden="1">
              <a:extLst>
                <a:ext uri="{63B3BB69-23CF-44E3-9099-C40C66FF867C}">
                  <a14:compatExt spid="_x0000_s166938"/>
                </a:ext>
                <a:ext uri="{FF2B5EF4-FFF2-40B4-BE49-F238E27FC236}">
                  <a16:creationId xmlns:a16="http://schemas.microsoft.com/office/drawing/2014/main" id="{3F18E342-72FD-4D6A-AE1A-17C2B4788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66939" name="ddBorY26" hidden="1">
              <a:extLst>
                <a:ext uri="{63B3BB69-23CF-44E3-9099-C40C66FF867C}">
                  <a14:compatExt spid="_x0000_s166939"/>
                </a:ext>
                <a:ext uri="{FF2B5EF4-FFF2-40B4-BE49-F238E27FC236}">
                  <a16:creationId xmlns:a16="http://schemas.microsoft.com/office/drawing/2014/main" id="{D22A95EC-8F61-4EA5-A4F9-AF93FCC08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66940" name="ddBorY27" hidden="1">
              <a:extLst>
                <a:ext uri="{63B3BB69-23CF-44E3-9099-C40C66FF867C}">
                  <a14:compatExt spid="_x0000_s166940"/>
                </a:ext>
                <a:ext uri="{FF2B5EF4-FFF2-40B4-BE49-F238E27FC236}">
                  <a16:creationId xmlns:a16="http://schemas.microsoft.com/office/drawing/2014/main" id="{30FA3D48-3C70-4A1C-B4B7-70D3FAA39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66941" name="ddBorY28" hidden="1">
              <a:extLst>
                <a:ext uri="{63B3BB69-23CF-44E3-9099-C40C66FF867C}">
                  <a14:compatExt spid="_x0000_s166941"/>
                </a:ext>
                <a:ext uri="{FF2B5EF4-FFF2-40B4-BE49-F238E27FC236}">
                  <a16:creationId xmlns:a16="http://schemas.microsoft.com/office/drawing/2014/main" id="{E46056E9-FE1F-45CD-93E1-223642052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66942" name="ddBorY29" hidden="1">
              <a:extLst>
                <a:ext uri="{63B3BB69-23CF-44E3-9099-C40C66FF867C}">
                  <a14:compatExt spid="_x0000_s166942"/>
                </a:ext>
                <a:ext uri="{FF2B5EF4-FFF2-40B4-BE49-F238E27FC236}">
                  <a16:creationId xmlns:a16="http://schemas.microsoft.com/office/drawing/2014/main" id="{0154D274-2566-416B-A0CD-60F9E37E5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66943" name="ddBorY30" hidden="1">
              <a:extLst>
                <a:ext uri="{63B3BB69-23CF-44E3-9099-C40C66FF867C}">
                  <a14:compatExt spid="_x0000_s166943"/>
                </a:ext>
                <a:ext uri="{FF2B5EF4-FFF2-40B4-BE49-F238E27FC236}">
                  <a16:creationId xmlns:a16="http://schemas.microsoft.com/office/drawing/2014/main" id="{020EC468-EA43-494E-9B22-1F56F132A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66944" name="ddBorY31" hidden="1">
              <a:extLst>
                <a:ext uri="{63B3BB69-23CF-44E3-9099-C40C66FF867C}">
                  <a14:compatExt spid="_x0000_s166944"/>
                </a:ext>
                <a:ext uri="{FF2B5EF4-FFF2-40B4-BE49-F238E27FC236}">
                  <a16:creationId xmlns:a16="http://schemas.microsoft.com/office/drawing/2014/main" id="{35830AB9-DCF8-47F3-9207-E15801A10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66945" name="ddBorY32" hidden="1">
              <a:extLst>
                <a:ext uri="{63B3BB69-23CF-44E3-9099-C40C66FF867C}">
                  <a14:compatExt spid="_x0000_s166945"/>
                </a:ext>
                <a:ext uri="{FF2B5EF4-FFF2-40B4-BE49-F238E27FC236}">
                  <a16:creationId xmlns:a16="http://schemas.microsoft.com/office/drawing/2014/main" id="{7A83D80C-2275-4A6B-8303-C1B469B0D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66946" name="ddBorY33" hidden="1">
              <a:extLst>
                <a:ext uri="{63B3BB69-23CF-44E3-9099-C40C66FF867C}">
                  <a14:compatExt spid="_x0000_s166946"/>
                </a:ext>
                <a:ext uri="{FF2B5EF4-FFF2-40B4-BE49-F238E27FC236}">
                  <a16:creationId xmlns:a16="http://schemas.microsoft.com/office/drawing/2014/main" id="{58BBAABD-9494-49CB-9E9D-7129BB90D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66947" name="ddBorY34" hidden="1">
              <a:extLst>
                <a:ext uri="{63B3BB69-23CF-44E3-9099-C40C66FF867C}">
                  <a14:compatExt spid="_x0000_s166947"/>
                </a:ext>
                <a:ext uri="{FF2B5EF4-FFF2-40B4-BE49-F238E27FC236}">
                  <a16:creationId xmlns:a16="http://schemas.microsoft.com/office/drawing/2014/main" id="{959CAB75-DEFF-4B4A-951A-288CE9044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66948" name="ddBorY35" hidden="1">
              <a:extLst>
                <a:ext uri="{63B3BB69-23CF-44E3-9099-C40C66FF867C}">
                  <a14:compatExt spid="_x0000_s166948"/>
                </a:ext>
                <a:ext uri="{FF2B5EF4-FFF2-40B4-BE49-F238E27FC236}">
                  <a16:creationId xmlns:a16="http://schemas.microsoft.com/office/drawing/2014/main" id="{44D6405F-C83C-455A-BEBD-CBEF774DA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66949" name="ddBorY36" hidden="1">
              <a:extLst>
                <a:ext uri="{63B3BB69-23CF-44E3-9099-C40C66FF867C}">
                  <a14:compatExt spid="_x0000_s166949"/>
                </a:ext>
                <a:ext uri="{FF2B5EF4-FFF2-40B4-BE49-F238E27FC236}">
                  <a16:creationId xmlns:a16="http://schemas.microsoft.com/office/drawing/2014/main" id="{C0121708-1308-45FD-84CE-680729FD1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66950" name="ddBorY37" hidden="1">
              <a:extLst>
                <a:ext uri="{63B3BB69-23CF-44E3-9099-C40C66FF867C}">
                  <a14:compatExt spid="_x0000_s166950"/>
                </a:ext>
                <a:ext uri="{FF2B5EF4-FFF2-40B4-BE49-F238E27FC236}">
                  <a16:creationId xmlns:a16="http://schemas.microsoft.com/office/drawing/2014/main" id="{DB7001EE-B6DF-4D28-A840-DF775E04E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66951" name="ddBorY38" hidden="1">
              <a:extLst>
                <a:ext uri="{63B3BB69-23CF-44E3-9099-C40C66FF867C}">
                  <a14:compatExt spid="_x0000_s166951"/>
                </a:ext>
                <a:ext uri="{FF2B5EF4-FFF2-40B4-BE49-F238E27FC236}">
                  <a16:creationId xmlns:a16="http://schemas.microsoft.com/office/drawing/2014/main" id="{04FCD59B-49C2-404A-A430-FD5907E8F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66952" name="ddBorY39" hidden="1">
              <a:extLst>
                <a:ext uri="{63B3BB69-23CF-44E3-9099-C40C66FF867C}">
                  <a14:compatExt spid="_x0000_s166952"/>
                </a:ext>
                <a:ext uri="{FF2B5EF4-FFF2-40B4-BE49-F238E27FC236}">
                  <a16:creationId xmlns:a16="http://schemas.microsoft.com/office/drawing/2014/main" id="{843E7110-F753-49BC-8CF4-E08583D95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66953" name="ddBorY40" hidden="1">
              <a:extLst>
                <a:ext uri="{63B3BB69-23CF-44E3-9099-C40C66FF867C}">
                  <a14:compatExt spid="_x0000_s166953"/>
                </a:ext>
                <a:ext uri="{FF2B5EF4-FFF2-40B4-BE49-F238E27FC236}">
                  <a16:creationId xmlns:a16="http://schemas.microsoft.com/office/drawing/2014/main" id="{9FB3DC84-FCDF-4839-8575-0680B0611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66954" name="ddBorY41" hidden="1">
              <a:extLst>
                <a:ext uri="{63B3BB69-23CF-44E3-9099-C40C66FF867C}">
                  <a14:compatExt spid="_x0000_s166954"/>
                </a:ext>
                <a:ext uri="{FF2B5EF4-FFF2-40B4-BE49-F238E27FC236}">
                  <a16:creationId xmlns:a16="http://schemas.microsoft.com/office/drawing/2014/main" id="{94467304-5721-481B-9648-D34F407C6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66955" name="ddBorY42" hidden="1">
              <a:extLst>
                <a:ext uri="{63B3BB69-23CF-44E3-9099-C40C66FF867C}">
                  <a14:compatExt spid="_x0000_s166955"/>
                </a:ext>
                <a:ext uri="{FF2B5EF4-FFF2-40B4-BE49-F238E27FC236}">
                  <a16:creationId xmlns:a16="http://schemas.microsoft.com/office/drawing/2014/main" id="{8E17593B-6639-47B1-AA23-3C1012AB8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66956" name="ddBorY43" hidden="1">
              <a:extLst>
                <a:ext uri="{63B3BB69-23CF-44E3-9099-C40C66FF867C}">
                  <a14:compatExt spid="_x0000_s166956"/>
                </a:ext>
                <a:ext uri="{FF2B5EF4-FFF2-40B4-BE49-F238E27FC236}">
                  <a16:creationId xmlns:a16="http://schemas.microsoft.com/office/drawing/2014/main" id="{8BFC1FA1-BA73-4304-A078-D5861FADC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66957" name="ddBorY44" hidden="1">
              <a:extLst>
                <a:ext uri="{63B3BB69-23CF-44E3-9099-C40C66FF867C}">
                  <a14:compatExt spid="_x0000_s166957"/>
                </a:ext>
                <a:ext uri="{FF2B5EF4-FFF2-40B4-BE49-F238E27FC236}">
                  <a16:creationId xmlns:a16="http://schemas.microsoft.com/office/drawing/2014/main" id="{B3F374CC-579B-457C-81A5-761642978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66958" name="ddBorY45" hidden="1">
              <a:extLst>
                <a:ext uri="{63B3BB69-23CF-44E3-9099-C40C66FF867C}">
                  <a14:compatExt spid="_x0000_s166958"/>
                </a:ext>
                <a:ext uri="{FF2B5EF4-FFF2-40B4-BE49-F238E27FC236}">
                  <a16:creationId xmlns:a16="http://schemas.microsoft.com/office/drawing/2014/main" id="{83942B47-DA0E-4874-8AEE-0DF95AE2C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66959" name="ddBorY46" hidden="1">
              <a:extLst>
                <a:ext uri="{63B3BB69-23CF-44E3-9099-C40C66FF867C}">
                  <a14:compatExt spid="_x0000_s166959"/>
                </a:ext>
                <a:ext uri="{FF2B5EF4-FFF2-40B4-BE49-F238E27FC236}">
                  <a16:creationId xmlns:a16="http://schemas.microsoft.com/office/drawing/2014/main" id="{13DB4010-167B-4BF9-85DB-416308FF8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66960" name="ddBorY47" hidden="1">
              <a:extLst>
                <a:ext uri="{63B3BB69-23CF-44E3-9099-C40C66FF867C}">
                  <a14:compatExt spid="_x0000_s166960"/>
                </a:ext>
                <a:ext uri="{FF2B5EF4-FFF2-40B4-BE49-F238E27FC236}">
                  <a16:creationId xmlns:a16="http://schemas.microsoft.com/office/drawing/2014/main" id="{8435C5CB-B797-478D-85A1-360A3A730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66961" name="ddBorY48" hidden="1">
              <a:extLst>
                <a:ext uri="{63B3BB69-23CF-44E3-9099-C40C66FF867C}">
                  <a14:compatExt spid="_x0000_s166961"/>
                </a:ext>
                <a:ext uri="{FF2B5EF4-FFF2-40B4-BE49-F238E27FC236}">
                  <a16:creationId xmlns:a16="http://schemas.microsoft.com/office/drawing/2014/main" id="{19C3E898-66F5-4D37-8798-692C398F3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66962" name="ddBorY49" hidden="1">
              <a:extLst>
                <a:ext uri="{63B3BB69-23CF-44E3-9099-C40C66FF867C}">
                  <a14:compatExt spid="_x0000_s166962"/>
                </a:ext>
                <a:ext uri="{FF2B5EF4-FFF2-40B4-BE49-F238E27FC236}">
                  <a16:creationId xmlns:a16="http://schemas.microsoft.com/office/drawing/2014/main" id="{F648448D-5488-47F4-BD2E-2A7F35B94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66963" name="ddBorY50" hidden="1">
              <a:extLst>
                <a:ext uri="{63B3BB69-23CF-44E3-9099-C40C66FF867C}">
                  <a14:compatExt spid="_x0000_s166963"/>
                </a:ext>
                <a:ext uri="{FF2B5EF4-FFF2-40B4-BE49-F238E27FC236}">
                  <a16:creationId xmlns:a16="http://schemas.microsoft.com/office/drawing/2014/main" id="{F53FA087-8E63-487B-94A9-5FC2A7C53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6964" name="ddInd1" hidden="1">
              <a:extLst>
                <a:ext uri="{63B3BB69-23CF-44E3-9099-C40C66FF867C}">
                  <a14:compatExt spid="_x0000_s166964"/>
                </a:ext>
                <a:ext uri="{FF2B5EF4-FFF2-40B4-BE49-F238E27FC236}">
                  <a16:creationId xmlns:a16="http://schemas.microsoft.com/office/drawing/2014/main" id="{C814CF4D-3601-445D-AEF4-18FAFB676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6965" name="ddCuni1" hidden="1">
              <a:extLst>
                <a:ext uri="{63B3BB69-23CF-44E3-9099-C40C66FF867C}">
                  <a14:compatExt spid="_x0000_s166965"/>
                </a:ext>
                <a:ext uri="{FF2B5EF4-FFF2-40B4-BE49-F238E27FC236}">
                  <a16:creationId xmlns:a16="http://schemas.microsoft.com/office/drawing/2014/main" id="{16AA574A-0C62-49C3-AC58-DD884F2C3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66966" name="ddCyn1" hidden="1">
              <a:extLst>
                <a:ext uri="{63B3BB69-23CF-44E3-9099-C40C66FF867C}">
                  <a14:compatExt spid="_x0000_s166966"/>
                </a:ext>
                <a:ext uri="{FF2B5EF4-FFF2-40B4-BE49-F238E27FC236}">
                  <a16:creationId xmlns:a16="http://schemas.microsoft.com/office/drawing/2014/main" id="{581877F3-6661-46C9-8846-BFDA8C372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6967" name="ddCuni2" hidden="1">
              <a:extLst>
                <a:ext uri="{63B3BB69-23CF-44E3-9099-C40C66FF867C}">
                  <a14:compatExt spid="_x0000_s166967"/>
                </a:ext>
                <a:ext uri="{FF2B5EF4-FFF2-40B4-BE49-F238E27FC236}">
                  <a16:creationId xmlns:a16="http://schemas.microsoft.com/office/drawing/2014/main" id="{CB5363A6-635D-4533-A6B7-2F655C990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6968" name="ddCyn2" hidden="1">
              <a:extLst>
                <a:ext uri="{63B3BB69-23CF-44E3-9099-C40C66FF867C}">
                  <a14:compatExt spid="_x0000_s166968"/>
                </a:ext>
                <a:ext uri="{FF2B5EF4-FFF2-40B4-BE49-F238E27FC236}">
                  <a16:creationId xmlns:a16="http://schemas.microsoft.com/office/drawing/2014/main" id="{230D9D42-8DA5-4602-A4D7-DE20723AB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6969" name="ddCuni3" hidden="1">
              <a:extLst>
                <a:ext uri="{63B3BB69-23CF-44E3-9099-C40C66FF867C}">
                  <a14:compatExt spid="_x0000_s166969"/>
                </a:ext>
                <a:ext uri="{FF2B5EF4-FFF2-40B4-BE49-F238E27FC236}">
                  <a16:creationId xmlns:a16="http://schemas.microsoft.com/office/drawing/2014/main" id="{2B416CC4-D237-4307-8B27-02EFF7605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6970" name="ddCyn3" hidden="1">
              <a:extLst>
                <a:ext uri="{63B3BB69-23CF-44E3-9099-C40C66FF867C}">
                  <a14:compatExt spid="_x0000_s166970"/>
                </a:ext>
                <a:ext uri="{FF2B5EF4-FFF2-40B4-BE49-F238E27FC236}">
                  <a16:creationId xmlns:a16="http://schemas.microsoft.com/office/drawing/2014/main" id="{1672D67B-706F-4C64-BBE8-7D6F7E630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6971" name="ddCuni4" hidden="1">
              <a:extLst>
                <a:ext uri="{63B3BB69-23CF-44E3-9099-C40C66FF867C}">
                  <a14:compatExt spid="_x0000_s166971"/>
                </a:ext>
                <a:ext uri="{FF2B5EF4-FFF2-40B4-BE49-F238E27FC236}">
                  <a16:creationId xmlns:a16="http://schemas.microsoft.com/office/drawing/2014/main" id="{0EA9272B-7B37-4DBE-AE77-C680A5B0C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6972" name="ddCyn4" hidden="1">
              <a:extLst>
                <a:ext uri="{63B3BB69-23CF-44E3-9099-C40C66FF867C}">
                  <a14:compatExt spid="_x0000_s166972"/>
                </a:ext>
                <a:ext uri="{FF2B5EF4-FFF2-40B4-BE49-F238E27FC236}">
                  <a16:creationId xmlns:a16="http://schemas.microsoft.com/office/drawing/2014/main" id="{9394761D-042F-4EF3-91FC-8926EC9BC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6973" name="ddCuni5" hidden="1">
              <a:extLst>
                <a:ext uri="{63B3BB69-23CF-44E3-9099-C40C66FF867C}">
                  <a14:compatExt spid="_x0000_s166973"/>
                </a:ext>
                <a:ext uri="{FF2B5EF4-FFF2-40B4-BE49-F238E27FC236}">
                  <a16:creationId xmlns:a16="http://schemas.microsoft.com/office/drawing/2014/main" id="{F9E4E2EC-0C73-48DB-B77B-A66A675BA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6974" name="ddCyn5" hidden="1">
              <a:extLst>
                <a:ext uri="{63B3BB69-23CF-44E3-9099-C40C66FF867C}">
                  <a14:compatExt spid="_x0000_s166974"/>
                </a:ext>
                <a:ext uri="{FF2B5EF4-FFF2-40B4-BE49-F238E27FC236}">
                  <a16:creationId xmlns:a16="http://schemas.microsoft.com/office/drawing/2014/main" id="{32D0F4BD-8266-46FD-B145-4434496E3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66975" name="ddCuni6" hidden="1">
              <a:extLst>
                <a:ext uri="{63B3BB69-23CF-44E3-9099-C40C66FF867C}">
                  <a14:compatExt spid="_x0000_s166975"/>
                </a:ext>
                <a:ext uri="{FF2B5EF4-FFF2-40B4-BE49-F238E27FC236}">
                  <a16:creationId xmlns:a16="http://schemas.microsoft.com/office/drawing/2014/main" id="{C5BECF27-E73E-47C6-AC55-C37EAED75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66976" name="ddCyn6" hidden="1">
              <a:extLst>
                <a:ext uri="{63B3BB69-23CF-44E3-9099-C40C66FF867C}">
                  <a14:compatExt spid="_x0000_s166976"/>
                </a:ext>
                <a:ext uri="{FF2B5EF4-FFF2-40B4-BE49-F238E27FC236}">
                  <a16:creationId xmlns:a16="http://schemas.microsoft.com/office/drawing/2014/main" id="{5B9F8A97-44B1-47DB-B394-FD330D0B6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66977" name="ddCuni7" hidden="1">
              <a:extLst>
                <a:ext uri="{63B3BB69-23CF-44E3-9099-C40C66FF867C}">
                  <a14:compatExt spid="_x0000_s166977"/>
                </a:ext>
                <a:ext uri="{FF2B5EF4-FFF2-40B4-BE49-F238E27FC236}">
                  <a16:creationId xmlns:a16="http://schemas.microsoft.com/office/drawing/2014/main" id="{23009E83-C92C-422C-B696-98774389D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66978" name="ddCyn7" hidden="1">
              <a:extLst>
                <a:ext uri="{63B3BB69-23CF-44E3-9099-C40C66FF867C}">
                  <a14:compatExt spid="_x0000_s166978"/>
                </a:ext>
                <a:ext uri="{FF2B5EF4-FFF2-40B4-BE49-F238E27FC236}">
                  <a16:creationId xmlns:a16="http://schemas.microsoft.com/office/drawing/2014/main" id="{AD8C13B6-AF36-497C-AB73-B3F04262A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66979" name="ddCuni8" hidden="1">
              <a:extLst>
                <a:ext uri="{63B3BB69-23CF-44E3-9099-C40C66FF867C}">
                  <a14:compatExt spid="_x0000_s166979"/>
                </a:ext>
                <a:ext uri="{FF2B5EF4-FFF2-40B4-BE49-F238E27FC236}">
                  <a16:creationId xmlns:a16="http://schemas.microsoft.com/office/drawing/2014/main" id="{502365A7-C1FB-46CC-B7F8-0F96A443D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66980" name="ddCyn8" hidden="1">
              <a:extLst>
                <a:ext uri="{63B3BB69-23CF-44E3-9099-C40C66FF867C}">
                  <a14:compatExt spid="_x0000_s166980"/>
                </a:ext>
                <a:ext uri="{FF2B5EF4-FFF2-40B4-BE49-F238E27FC236}">
                  <a16:creationId xmlns:a16="http://schemas.microsoft.com/office/drawing/2014/main" id="{DF097DC4-6A8F-4FAC-9B8B-1B1D09AE9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5D9036FE-940B-4B46-832C-A58AACC617D9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AF25D3E-74BE-4F44-A792-99EB0CD79E5D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SampSum" textlink="">
      <xdr:nvSpPr>
        <xdr:cNvPr id="3" name="Rectangle 2">
          <a:extLst>
            <a:ext uri="{FF2B5EF4-FFF2-40B4-BE49-F238E27FC236}">
              <a16:creationId xmlns:a16="http://schemas.microsoft.com/office/drawing/2014/main" id="{C98D4888-8392-4490-A103-23EF27AC64C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Process" textlink="">
      <xdr:nvSpPr>
        <xdr:cNvPr id="4" name="Rectangle 3">
          <a:extLst>
            <a:ext uri="{FF2B5EF4-FFF2-40B4-BE49-F238E27FC236}">
              <a16:creationId xmlns:a16="http://schemas.microsoft.com/office/drawing/2014/main" id="{E32D4C04-0438-4235-904D-71955C6F8A53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61" Type="http://schemas.openxmlformats.org/officeDocument/2006/relationships/ctrlProp" Target="../ctrlProps/ctrlProp59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26" Type="http://schemas.openxmlformats.org/officeDocument/2006/relationships/ctrlProp" Target="../ctrlProps/ctrlProp92.xml"/><Relationship Id="rId39" Type="http://schemas.openxmlformats.org/officeDocument/2006/relationships/ctrlProp" Target="../ctrlProps/ctrlProp105.xml"/><Relationship Id="rId21" Type="http://schemas.openxmlformats.org/officeDocument/2006/relationships/ctrlProp" Target="../ctrlProps/ctrlProp87.xml"/><Relationship Id="rId34" Type="http://schemas.openxmlformats.org/officeDocument/2006/relationships/ctrlProp" Target="../ctrlProps/ctrlProp100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63" Type="http://schemas.openxmlformats.org/officeDocument/2006/relationships/ctrlProp" Target="../ctrlProps/ctrlProp129.xml"/><Relationship Id="rId7" Type="http://schemas.openxmlformats.org/officeDocument/2006/relationships/ctrlProp" Target="../ctrlProps/ctrlProp7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82.xml"/><Relationship Id="rId29" Type="http://schemas.openxmlformats.org/officeDocument/2006/relationships/ctrlProp" Target="../ctrlProps/ctrlProp95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66" Type="http://schemas.openxmlformats.org/officeDocument/2006/relationships/ctrlProp" Target="../ctrlProps/ctrlProp132.xml"/><Relationship Id="rId5" Type="http://schemas.openxmlformats.org/officeDocument/2006/relationships/ctrlProp" Target="../ctrlProps/ctrlProp71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61" Type="http://schemas.openxmlformats.org/officeDocument/2006/relationships/ctrlProp" Target="../ctrlProps/ctrlProp127.xml"/><Relationship Id="rId10" Type="http://schemas.openxmlformats.org/officeDocument/2006/relationships/ctrlProp" Target="../ctrlProps/ctrlProp76.xml"/><Relationship Id="rId19" Type="http://schemas.openxmlformats.org/officeDocument/2006/relationships/ctrlProp" Target="../ctrlProps/ctrlProp85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56" Type="http://schemas.openxmlformats.org/officeDocument/2006/relationships/ctrlProp" Target="../ctrlProps/ctrlProp122.xml"/><Relationship Id="rId64" Type="http://schemas.openxmlformats.org/officeDocument/2006/relationships/ctrlProp" Target="../ctrlProps/ctrlProp130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3" Type="http://schemas.openxmlformats.org/officeDocument/2006/relationships/ctrlProp" Target="../ctrlProps/ctrlProp69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3" Type="http://schemas.openxmlformats.org/officeDocument/2006/relationships/ctrlProp" Target="../ctrlProps/ctrlProp134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0" Type="http://schemas.openxmlformats.org/officeDocument/2006/relationships/ctrlProp" Target="../ctrlProps/ctrlProp141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3" Type="http://schemas.openxmlformats.org/officeDocument/2006/relationships/ctrlProp" Target="../ctrlProps/ctrlProp144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64.xml"/><Relationship Id="rId18" Type="http://schemas.openxmlformats.org/officeDocument/2006/relationships/ctrlProp" Target="../ctrlProps/ctrlProp169.xml"/><Relationship Id="rId26" Type="http://schemas.openxmlformats.org/officeDocument/2006/relationships/ctrlProp" Target="../ctrlProps/ctrlProp177.xml"/><Relationship Id="rId39" Type="http://schemas.openxmlformats.org/officeDocument/2006/relationships/ctrlProp" Target="../ctrlProps/ctrlProp190.xml"/><Relationship Id="rId21" Type="http://schemas.openxmlformats.org/officeDocument/2006/relationships/ctrlProp" Target="../ctrlProps/ctrlProp172.xml"/><Relationship Id="rId34" Type="http://schemas.openxmlformats.org/officeDocument/2006/relationships/ctrlProp" Target="../ctrlProps/ctrlProp185.xml"/><Relationship Id="rId42" Type="http://schemas.openxmlformats.org/officeDocument/2006/relationships/ctrlProp" Target="../ctrlProps/ctrlProp193.xml"/><Relationship Id="rId47" Type="http://schemas.openxmlformats.org/officeDocument/2006/relationships/ctrlProp" Target="../ctrlProps/ctrlProp198.xml"/><Relationship Id="rId50" Type="http://schemas.openxmlformats.org/officeDocument/2006/relationships/ctrlProp" Target="../ctrlProps/ctrlProp201.xml"/><Relationship Id="rId55" Type="http://schemas.openxmlformats.org/officeDocument/2006/relationships/ctrlProp" Target="../ctrlProps/ctrlProp206.xml"/><Relationship Id="rId63" Type="http://schemas.openxmlformats.org/officeDocument/2006/relationships/ctrlProp" Target="../ctrlProps/ctrlProp214.xml"/><Relationship Id="rId68" Type="http://schemas.openxmlformats.org/officeDocument/2006/relationships/ctrlProp" Target="../ctrlProps/ctrlProp219.xml"/><Relationship Id="rId7" Type="http://schemas.openxmlformats.org/officeDocument/2006/relationships/ctrlProp" Target="../ctrlProps/ctrlProp15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67.xml"/><Relationship Id="rId29" Type="http://schemas.openxmlformats.org/officeDocument/2006/relationships/ctrlProp" Target="../ctrlProps/ctrlProp180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24" Type="http://schemas.openxmlformats.org/officeDocument/2006/relationships/ctrlProp" Target="../ctrlProps/ctrlProp175.xml"/><Relationship Id="rId32" Type="http://schemas.openxmlformats.org/officeDocument/2006/relationships/ctrlProp" Target="../ctrlProps/ctrlProp183.xml"/><Relationship Id="rId37" Type="http://schemas.openxmlformats.org/officeDocument/2006/relationships/ctrlProp" Target="../ctrlProps/ctrlProp188.xml"/><Relationship Id="rId40" Type="http://schemas.openxmlformats.org/officeDocument/2006/relationships/ctrlProp" Target="../ctrlProps/ctrlProp191.xml"/><Relationship Id="rId45" Type="http://schemas.openxmlformats.org/officeDocument/2006/relationships/ctrlProp" Target="../ctrlProps/ctrlProp196.xml"/><Relationship Id="rId53" Type="http://schemas.openxmlformats.org/officeDocument/2006/relationships/ctrlProp" Target="../ctrlProps/ctrlProp204.xml"/><Relationship Id="rId58" Type="http://schemas.openxmlformats.org/officeDocument/2006/relationships/ctrlProp" Target="../ctrlProps/ctrlProp209.xml"/><Relationship Id="rId66" Type="http://schemas.openxmlformats.org/officeDocument/2006/relationships/ctrlProp" Target="../ctrlProps/ctrlProp217.xml"/><Relationship Id="rId5" Type="http://schemas.openxmlformats.org/officeDocument/2006/relationships/ctrlProp" Target="../ctrlProps/ctrlProp156.xml"/><Relationship Id="rId15" Type="http://schemas.openxmlformats.org/officeDocument/2006/relationships/ctrlProp" Target="../ctrlProps/ctrlProp166.xml"/><Relationship Id="rId23" Type="http://schemas.openxmlformats.org/officeDocument/2006/relationships/ctrlProp" Target="../ctrlProps/ctrlProp174.xml"/><Relationship Id="rId28" Type="http://schemas.openxmlformats.org/officeDocument/2006/relationships/ctrlProp" Target="../ctrlProps/ctrlProp179.xml"/><Relationship Id="rId36" Type="http://schemas.openxmlformats.org/officeDocument/2006/relationships/ctrlProp" Target="../ctrlProps/ctrlProp187.xml"/><Relationship Id="rId49" Type="http://schemas.openxmlformats.org/officeDocument/2006/relationships/ctrlProp" Target="../ctrlProps/ctrlProp200.xml"/><Relationship Id="rId57" Type="http://schemas.openxmlformats.org/officeDocument/2006/relationships/ctrlProp" Target="../ctrlProps/ctrlProp208.xml"/><Relationship Id="rId61" Type="http://schemas.openxmlformats.org/officeDocument/2006/relationships/ctrlProp" Target="../ctrlProps/ctrlProp212.xml"/><Relationship Id="rId10" Type="http://schemas.openxmlformats.org/officeDocument/2006/relationships/ctrlProp" Target="../ctrlProps/ctrlProp161.xml"/><Relationship Id="rId19" Type="http://schemas.openxmlformats.org/officeDocument/2006/relationships/ctrlProp" Target="../ctrlProps/ctrlProp170.xml"/><Relationship Id="rId31" Type="http://schemas.openxmlformats.org/officeDocument/2006/relationships/ctrlProp" Target="../ctrlProps/ctrlProp182.xml"/><Relationship Id="rId44" Type="http://schemas.openxmlformats.org/officeDocument/2006/relationships/ctrlProp" Target="../ctrlProps/ctrlProp195.xml"/><Relationship Id="rId52" Type="http://schemas.openxmlformats.org/officeDocument/2006/relationships/ctrlProp" Target="../ctrlProps/ctrlProp203.xml"/><Relationship Id="rId60" Type="http://schemas.openxmlformats.org/officeDocument/2006/relationships/ctrlProp" Target="../ctrlProps/ctrlProp211.xml"/><Relationship Id="rId65" Type="http://schemas.openxmlformats.org/officeDocument/2006/relationships/ctrlProp" Target="../ctrlProps/ctrlProp216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ctrlProp" Target="../ctrlProps/ctrlProp165.xml"/><Relationship Id="rId22" Type="http://schemas.openxmlformats.org/officeDocument/2006/relationships/ctrlProp" Target="../ctrlProps/ctrlProp173.xml"/><Relationship Id="rId27" Type="http://schemas.openxmlformats.org/officeDocument/2006/relationships/ctrlProp" Target="../ctrlProps/ctrlProp178.xml"/><Relationship Id="rId30" Type="http://schemas.openxmlformats.org/officeDocument/2006/relationships/ctrlProp" Target="../ctrlProps/ctrlProp181.xml"/><Relationship Id="rId35" Type="http://schemas.openxmlformats.org/officeDocument/2006/relationships/ctrlProp" Target="../ctrlProps/ctrlProp186.xml"/><Relationship Id="rId43" Type="http://schemas.openxmlformats.org/officeDocument/2006/relationships/ctrlProp" Target="../ctrlProps/ctrlProp194.xml"/><Relationship Id="rId48" Type="http://schemas.openxmlformats.org/officeDocument/2006/relationships/ctrlProp" Target="../ctrlProps/ctrlProp199.xml"/><Relationship Id="rId56" Type="http://schemas.openxmlformats.org/officeDocument/2006/relationships/ctrlProp" Target="../ctrlProps/ctrlProp207.xml"/><Relationship Id="rId64" Type="http://schemas.openxmlformats.org/officeDocument/2006/relationships/ctrlProp" Target="../ctrlProps/ctrlProp215.xml"/><Relationship Id="rId69" Type="http://schemas.openxmlformats.org/officeDocument/2006/relationships/ctrlProp" Target="../ctrlProps/ctrlProp220.xml"/><Relationship Id="rId8" Type="http://schemas.openxmlformats.org/officeDocument/2006/relationships/ctrlProp" Target="../ctrlProps/ctrlProp159.xml"/><Relationship Id="rId51" Type="http://schemas.openxmlformats.org/officeDocument/2006/relationships/ctrlProp" Target="../ctrlProps/ctrlProp202.xml"/><Relationship Id="rId3" Type="http://schemas.openxmlformats.org/officeDocument/2006/relationships/ctrlProp" Target="../ctrlProps/ctrlProp154.xml"/><Relationship Id="rId12" Type="http://schemas.openxmlformats.org/officeDocument/2006/relationships/ctrlProp" Target="../ctrlProps/ctrlProp163.xml"/><Relationship Id="rId17" Type="http://schemas.openxmlformats.org/officeDocument/2006/relationships/ctrlProp" Target="../ctrlProps/ctrlProp168.xml"/><Relationship Id="rId25" Type="http://schemas.openxmlformats.org/officeDocument/2006/relationships/ctrlProp" Target="../ctrlProps/ctrlProp176.xml"/><Relationship Id="rId33" Type="http://schemas.openxmlformats.org/officeDocument/2006/relationships/ctrlProp" Target="../ctrlProps/ctrlProp184.xml"/><Relationship Id="rId38" Type="http://schemas.openxmlformats.org/officeDocument/2006/relationships/ctrlProp" Target="../ctrlProps/ctrlProp189.xml"/><Relationship Id="rId46" Type="http://schemas.openxmlformats.org/officeDocument/2006/relationships/ctrlProp" Target="../ctrlProps/ctrlProp197.xml"/><Relationship Id="rId59" Type="http://schemas.openxmlformats.org/officeDocument/2006/relationships/ctrlProp" Target="../ctrlProps/ctrlProp210.xml"/><Relationship Id="rId67" Type="http://schemas.openxmlformats.org/officeDocument/2006/relationships/ctrlProp" Target="../ctrlProps/ctrlProp218.xml"/><Relationship Id="rId20" Type="http://schemas.openxmlformats.org/officeDocument/2006/relationships/ctrlProp" Target="../ctrlProps/ctrlProp171.xml"/><Relationship Id="rId41" Type="http://schemas.openxmlformats.org/officeDocument/2006/relationships/ctrlProp" Target="../ctrlProps/ctrlProp192.xml"/><Relationship Id="rId54" Type="http://schemas.openxmlformats.org/officeDocument/2006/relationships/ctrlProp" Target="../ctrlProps/ctrlProp205.xml"/><Relationship Id="rId62" Type="http://schemas.openxmlformats.org/officeDocument/2006/relationships/ctrlProp" Target="../ctrlProps/ctrlProp213.xml"/><Relationship Id="rId70" Type="http://schemas.openxmlformats.org/officeDocument/2006/relationships/ctrlProp" Target="../ctrlProps/ctrlProp22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13"/>
  <sheetViews>
    <sheetView workbookViewId="0">
      <selection activeCell="E4" sqref="E4"/>
    </sheetView>
  </sheetViews>
  <sheetFormatPr defaultRowHeight="15" x14ac:dyDescent="0.25"/>
  <cols>
    <col min="2" max="2" width="36.42578125" customWidth="1"/>
    <col min="4" max="4" width="11.42578125" customWidth="1"/>
  </cols>
  <sheetData>
    <row r="2" spans="2:12" ht="21" x14ac:dyDescent="0.35">
      <c r="B2" s="2" t="s">
        <v>3</v>
      </c>
    </row>
    <row r="4" spans="2:12" x14ac:dyDescent="0.25">
      <c r="D4" s="1" t="s">
        <v>131</v>
      </c>
      <c r="E4" s="15" t="s">
        <v>130</v>
      </c>
      <c r="F4" s="16"/>
      <c r="G4" s="16"/>
      <c r="H4" s="16"/>
      <c r="I4" s="16"/>
      <c r="J4" s="17"/>
      <c r="K4" s="17"/>
      <c r="L4" s="18"/>
    </row>
    <row r="7" spans="2:12" x14ac:dyDescent="0.25">
      <c r="D7" s="1" t="s">
        <v>0</v>
      </c>
      <c r="E7" t="s">
        <v>1</v>
      </c>
    </row>
    <row r="8" spans="2:12" x14ac:dyDescent="0.25">
      <c r="E8" t="s">
        <v>2</v>
      </c>
    </row>
    <row r="10" spans="2:12" x14ac:dyDescent="0.25">
      <c r="E10" t="s">
        <v>4</v>
      </c>
    </row>
    <row r="13" spans="2:12" x14ac:dyDescent="0.25">
      <c r="E13" t="s">
        <v>107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B_Locate">
          <controlPr defaultSize="0" autoLine="0" r:id="rId5">
            <anchor moveWithCells="1">
              <from>
                <xdr:col>1</xdr:col>
                <xdr:colOff>0</xdr:colOff>
                <xdr:row>2</xdr:row>
                <xdr:rowOff>180975</xdr:rowOff>
              </from>
              <to>
                <xdr:col>2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29" r:id="rId4" name="CB_Locate"/>
      </mc:Fallback>
    </mc:AlternateContent>
    <mc:AlternateContent xmlns:mc="http://schemas.openxmlformats.org/markup-compatibility/2006">
      <mc:Choice Requires="x14">
        <control shapeId="1027" r:id="rId6" name="CB_AddExp">
          <controlPr defaultSize="0" autoLine="0" r:id="rId7">
            <anchor moveWithCells="1">
              <from>
                <xdr:col>0</xdr:col>
                <xdr:colOff>600075</xdr:colOff>
                <xdr:row>12</xdr:row>
                <xdr:rowOff>0</xdr:rowOff>
              </from>
              <to>
                <xdr:col>1</xdr:col>
                <xdr:colOff>2419350</xdr:colOff>
                <xdr:row>14</xdr:row>
                <xdr:rowOff>0</xdr:rowOff>
              </to>
            </anchor>
          </controlPr>
        </control>
      </mc:Choice>
      <mc:Fallback>
        <control shapeId="1027" r:id="rId6" name="CB_AddExp"/>
      </mc:Fallback>
    </mc:AlternateContent>
    <mc:AlternateContent xmlns:mc="http://schemas.openxmlformats.org/markup-compatibility/2006">
      <mc:Choice Requires="x14">
        <control shapeId="1026" r:id="rId8" name="CB_AddSample">
          <controlPr defaultSize="0" autoLine="0" r:id="rId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6" r:id="rId8" name="CB_AddSample"/>
      </mc:Fallback>
    </mc:AlternateContent>
    <mc:AlternateContent xmlns:mc="http://schemas.openxmlformats.org/markup-compatibility/2006">
      <mc:Choice Requires="x14">
        <control shapeId="1025" r:id="rId10" name="CB_ClearAll">
          <controlPr defaultSize="0" autoLine="0" r:id="rId11">
            <anchor moveWithCells="1">
              <from>
                <xdr:col>0</xdr:col>
                <xdr:colOff>600075</xdr:colOff>
                <xdr:row>5</xdr:row>
                <xdr:rowOff>180975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5" r:id="rId10" name="CB_Clear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CD5E-3107-46E3-8A49-EDB1268D5FE5}">
  <sheetPr codeName="Sheet5"/>
  <dimension ref="B5:G11"/>
  <sheetViews>
    <sheetView tabSelected="1" workbookViewId="0">
      <selection activeCell="I20" sqref="I20"/>
    </sheetView>
  </sheetViews>
  <sheetFormatPr defaultRowHeight="15" x14ac:dyDescent="0.25"/>
  <sheetData>
    <row r="5" spans="2:7" x14ac:dyDescent="0.25">
      <c r="B5" s="1" t="s">
        <v>124</v>
      </c>
      <c r="C5" s="1" t="s">
        <v>124</v>
      </c>
      <c r="D5" s="1" t="s">
        <v>5</v>
      </c>
      <c r="E5" s="1" t="s">
        <v>124</v>
      </c>
      <c r="F5" s="1" t="s">
        <v>124</v>
      </c>
      <c r="G5" s="1" t="s">
        <v>132</v>
      </c>
    </row>
    <row r="6" spans="2:7" x14ac:dyDescent="0.25">
      <c r="B6" s="1" t="s">
        <v>125</v>
      </c>
      <c r="C6" s="1" t="s">
        <v>126</v>
      </c>
      <c r="D6" s="1"/>
      <c r="E6" s="1" t="s">
        <v>127</v>
      </c>
      <c r="F6" s="1" t="s">
        <v>128</v>
      </c>
      <c r="G6" s="1"/>
    </row>
    <row r="7" spans="2:7" x14ac:dyDescent="0.25">
      <c r="B7" s="10">
        <v>1</v>
      </c>
      <c r="C7" s="13" t="s">
        <v>133</v>
      </c>
      <c r="D7" s="13" t="s">
        <v>137</v>
      </c>
      <c r="E7" s="14" t="s">
        <v>129</v>
      </c>
      <c r="F7" s="13" t="s">
        <v>134</v>
      </c>
      <c r="G7" s="13" t="s">
        <v>172</v>
      </c>
    </row>
    <row r="8" spans="2:7" x14ac:dyDescent="0.25">
      <c r="B8" s="10">
        <v>2</v>
      </c>
      <c r="C8" s="13" t="s">
        <v>173</v>
      </c>
      <c r="D8" s="13" t="s">
        <v>137</v>
      </c>
      <c r="E8" s="14" t="s">
        <v>129</v>
      </c>
      <c r="F8" s="13" t="s">
        <v>134</v>
      </c>
      <c r="G8" s="13" t="s">
        <v>174</v>
      </c>
    </row>
    <row r="9" spans="2:7" x14ac:dyDescent="0.25">
      <c r="B9" s="10">
        <v>3</v>
      </c>
      <c r="C9" s="13" t="s">
        <v>181</v>
      </c>
      <c r="D9" s="13" t="s">
        <v>137</v>
      </c>
      <c r="E9" s="14" t="s">
        <v>129</v>
      </c>
      <c r="F9" s="13" t="s">
        <v>134</v>
      </c>
      <c r="G9" s="13" t="s">
        <v>182</v>
      </c>
    </row>
    <row r="10" spans="2:7" x14ac:dyDescent="0.25">
      <c r="B10" s="10">
        <v>4</v>
      </c>
      <c r="C10" s="13" t="s">
        <v>181</v>
      </c>
      <c r="D10" s="13" t="s">
        <v>137</v>
      </c>
      <c r="E10" s="14" t="s">
        <v>129</v>
      </c>
      <c r="F10" s="13" t="s">
        <v>134</v>
      </c>
      <c r="G10" s="13" t="s">
        <v>189</v>
      </c>
    </row>
    <row r="11" spans="2:7" x14ac:dyDescent="0.25">
      <c r="B11" s="10">
        <v>5</v>
      </c>
      <c r="C11" s="13" t="s">
        <v>173</v>
      </c>
      <c r="D11" s="13" t="s">
        <v>137</v>
      </c>
      <c r="E11" s="14" t="s">
        <v>129</v>
      </c>
      <c r="F11" s="13" t="s">
        <v>134</v>
      </c>
      <c r="G11" s="13" t="s">
        <v>190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0AB45-02EE-4EE8-977A-7DC6F479F8F2}">
  <sheetPr codeName="Sheet6"/>
  <dimension ref="B2:K67"/>
  <sheetViews>
    <sheetView workbookViewId="0">
      <selection activeCell="J19" sqref="J19:J25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173</v>
      </c>
      <c r="G5" s="1" t="s">
        <v>175</v>
      </c>
      <c r="K5" s="1" t="s">
        <v>118</v>
      </c>
    </row>
    <row r="7" spans="2:11" x14ac:dyDescent="0.25">
      <c r="B7" s="1" t="s">
        <v>5</v>
      </c>
      <c r="E7" s="8" t="s">
        <v>137</v>
      </c>
    </row>
    <row r="9" spans="2:11" x14ac:dyDescent="0.25">
      <c r="B9" s="1" t="s">
        <v>109</v>
      </c>
      <c r="E9" s="3">
        <v>285</v>
      </c>
    </row>
    <row r="13" spans="2:11" x14ac:dyDescent="0.25">
      <c r="C13" s="1" t="s">
        <v>110</v>
      </c>
      <c r="D13" s="1" t="s">
        <v>176</v>
      </c>
      <c r="E13" s="1" t="s">
        <v>177</v>
      </c>
      <c r="F13" s="1" t="s">
        <v>116</v>
      </c>
      <c r="G13" s="1" t="s">
        <v>178</v>
      </c>
      <c r="H13" s="1" t="s">
        <v>179</v>
      </c>
      <c r="I13" s="1" t="s">
        <v>115</v>
      </c>
      <c r="J13" s="1" t="s">
        <v>180</v>
      </c>
      <c r="K13" s="1" t="s">
        <v>123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</row>
    <row r="17" spans="2:11" x14ac:dyDescent="0.25">
      <c r="B17" s="1" t="s">
        <v>119</v>
      </c>
    </row>
    <row r="18" spans="2:11" x14ac:dyDescent="0.25">
      <c r="B18" s="8"/>
      <c r="C18" s="10">
        <v>4371</v>
      </c>
      <c r="D18" s="11">
        <v>1.621</v>
      </c>
      <c r="E18" s="11">
        <v>1012</v>
      </c>
      <c r="F18" s="11">
        <v>0.66520000000000001</v>
      </c>
      <c r="G18" s="11"/>
      <c r="H18" s="11"/>
      <c r="I18" s="11"/>
      <c r="J18" s="11"/>
      <c r="K18" s="11"/>
    </row>
    <row r="19" spans="2:11" x14ac:dyDescent="0.25">
      <c r="B19" s="8"/>
      <c r="C19" s="10">
        <v>3700</v>
      </c>
      <c r="D19" s="11">
        <v>1.5409999999999999</v>
      </c>
      <c r="E19" s="11">
        <v>839</v>
      </c>
      <c r="F19" s="11">
        <v>0.68169999999999997</v>
      </c>
      <c r="G19" s="11"/>
      <c r="H19" s="11"/>
      <c r="I19" s="12">
        <v>0.94</v>
      </c>
      <c r="J19" s="11">
        <v>0.746</v>
      </c>
      <c r="K19" s="11"/>
    </row>
    <row r="20" spans="2:11" x14ac:dyDescent="0.25">
      <c r="B20" s="8"/>
      <c r="C20" s="10">
        <v>2700</v>
      </c>
      <c r="D20" s="11">
        <v>1.4319999999999999</v>
      </c>
      <c r="E20" s="11">
        <v>598</v>
      </c>
      <c r="F20" s="11">
        <v>0.70660000000000001</v>
      </c>
      <c r="G20" s="11"/>
      <c r="H20" s="11"/>
      <c r="I20" s="12">
        <v>0.92400000000000004</v>
      </c>
      <c r="J20" s="11">
        <v>0.73199999999999998</v>
      </c>
      <c r="K20" s="11"/>
    </row>
    <row r="21" spans="2:11" x14ac:dyDescent="0.25">
      <c r="B21" s="8"/>
      <c r="C21" s="10">
        <v>1700</v>
      </c>
      <c r="D21" s="11">
        <v>1.337</v>
      </c>
      <c r="E21" s="11">
        <v>394</v>
      </c>
      <c r="F21" s="11">
        <v>0.7319</v>
      </c>
      <c r="G21" s="11"/>
      <c r="H21" s="11"/>
      <c r="I21" s="12">
        <v>0.93</v>
      </c>
      <c r="J21" s="11">
        <v>0.745</v>
      </c>
      <c r="K21" s="11"/>
    </row>
    <row r="22" spans="2:11" x14ac:dyDescent="0.25">
      <c r="B22" s="8"/>
      <c r="C22" s="10">
        <v>1000</v>
      </c>
      <c r="D22" s="11">
        <v>1.276</v>
      </c>
      <c r="E22" s="11">
        <v>262</v>
      </c>
      <c r="F22" s="11">
        <v>0.74960000000000004</v>
      </c>
      <c r="G22" s="11"/>
      <c r="H22" s="11"/>
      <c r="I22" s="12">
        <v>0.95199999999999996</v>
      </c>
      <c r="J22" s="11">
        <v>0.77300000000000002</v>
      </c>
      <c r="K22" s="11"/>
    </row>
    <row r="23" spans="2:11" x14ac:dyDescent="0.25">
      <c r="B23" s="8"/>
      <c r="C23" s="10">
        <v>500</v>
      </c>
      <c r="D23" s="11">
        <v>1.2290000000000001</v>
      </c>
      <c r="E23" s="11">
        <v>168</v>
      </c>
      <c r="F23" s="11">
        <v>0.76439999999999997</v>
      </c>
      <c r="G23" s="11"/>
      <c r="H23" s="11"/>
      <c r="I23" s="12">
        <v>0.97199999999999998</v>
      </c>
      <c r="J23" s="11">
        <v>0.84499999999999997</v>
      </c>
      <c r="K23" s="11"/>
    </row>
    <row r="24" spans="2:11" x14ac:dyDescent="0.25">
      <c r="B24" s="8"/>
      <c r="C24" s="10">
        <v>200</v>
      </c>
      <c r="D24" s="11">
        <v>1.1919999999999999</v>
      </c>
      <c r="E24" s="11">
        <v>102</v>
      </c>
      <c r="F24" s="11">
        <v>0.77539999999999998</v>
      </c>
      <c r="G24" s="11"/>
      <c r="H24" s="11"/>
      <c r="I24" s="12">
        <v>0.98699999999999999</v>
      </c>
      <c r="J24" s="11">
        <v>1.0209999999999999</v>
      </c>
      <c r="K24" s="11"/>
    </row>
    <row r="25" spans="2:11" x14ac:dyDescent="0.25">
      <c r="B25" s="8"/>
      <c r="C25" s="10">
        <v>0</v>
      </c>
      <c r="D25" s="11">
        <v>1.1140000000000001</v>
      </c>
      <c r="E25" s="11">
        <v>0</v>
      </c>
      <c r="F25" s="11">
        <v>0.78639999999999999</v>
      </c>
      <c r="G25" s="11"/>
      <c r="H25" s="11"/>
      <c r="I25" s="11"/>
      <c r="J25" s="11">
        <v>2.1680000000000001</v>
      </c>
      <c r="K25" s="11"/>
    </row>
    <row r="26" spans="2:11" x14ac:dyDescent="0.25">
      <c r="B26" s="8"/>
      <c r="C26" s="10"/>
      <c r="D26" s="11"/>
      <c r="E26" s="11"/>
      <c r="F26" s="11"/>
      <c r="G26" s="11"/>
      <c r="H26" s="11"/>
      <c r="I26" s="11"/>
      <c r="J26" s="11"/>
      <c r="K26" s="11"/>
    </row>
    <row r="27" spans="2:11" x14ac:dyDescent="0.25">
      <c r="B27" s="8"/>
      <c r="C27" s="10"/>
      <c r="D27" s="11"/>
      <c r="E27" s="11"/>
      <c r="F27" s="11"/>
      <c r="G27" s="11"/>
      <c r="H27" s="11"/>
      <c r="I27" s="11"/>
      <c r="J27" s="11"/>
      <c r="K27" s="11"/>
    </row>
    <row r="28" spans="2:11" x14ac:dyDescent="0.25">
      <c r="B28" s="8"/>
      <c r="C28" s="10"/>
      <c r="D28" s="11"/>
      <c r="E28" s="11"/>
      <c r="F28" s="11"/>
      <c r="G28" s="11"/>
      <c r="H28" s="11"/>
      <c r="I28" s="11"/>
      <c r="J28" s="11"/>
      <c r="K28" s="11"/>
    </row>
    <row r="29" spans="2:11" x14ac:dyDescent="0.25">
      <c r="B29" s="8"/>
      <c r="C29" s="10"/>
      <c r="D29" s="11"/>
      <c r="E29" s="11"/>
      <c r="F29" s="11"/>
      <c r="G29" s="11"/>
      <c r="H29" s="11"/>
      <c r="I29" s="11"/>
      <c r="J29" s="11"/>
      <c r="K29" s="11"/>
    </row>
    <row r="30" spans="2:11" x14ac:dyDescent="0.25">
      <c r="B30" s="8"/>
      <c r="C30" s="10"/>
      <c r="D30" s="11"/>
      <c r="E30" s="11"/>
      <c r="F30" s="11"/>
      <c r="G30" s="11"/>
      <c r="H30" s="11"/>
      <c r="I30" s="11"/>
      <c r="J30" s="11"/>
      <c r="K30" s="11"/>
    </row>
    <row r="31" spans="2:11" x14ac:dyDescent="0.25">
      <c r="B31" s="8"/>
      <c r="C31" s="10"/>
      <c r="D31" s="11"/>
      <c r="E31" s="11"/>
      <c r="F31" s="11"/>
      <c r="G31" s="11"/>
      <c r="H31" s="11"/>
      <c r="I31" s="11"/>
      <c r="J31" s="11"/>
      <c r="K31" s="11"/>
    </row>
    <row r="32" spans="2:11" x14ac:dyDescent="0.25">
      <c r="B32" s="8"/>
      <c r="C32" s="10"/>
      <c r="D32" s="11"/>
      <c r="E32" s="11"/>
      <c r="F32" s="11"/>
      <c r="G32" s="11"/>
      <c r="H32" s="11"/>
      <c r="I32" s="11"/>
      <c r="J32" s="11"/>
      <c r="K32" s="11"/>
    </row>
    <row r="33" spans="2:11" x14ac:dyDescent="0.25">
      <c r="B33" s="8"/>
      <c r="C33" s="10"/>
      <c r="D33" s="11"/>
      <c r="E33" s="11"/>
      <c r="F33" s="11"/>
      <c r="G33" s="11"/>
      <c r="H33" s="11"/>
      <c r="I33" s="11"/>
      <c r="J33" s="11"/>
      <c r="K33" s="11"/>
    </row>
    <row r="34" spans="2:11" x14ac:dyDescent="0.25">
      <c r="B34" s="8"/>
      <c r="C34" s="10"/>
      <c r="D34" s="11"/>
      <c r="E34" s="11"/>
      <c r="F34" s="11"/>
      <c r="G34" s="11"/>
      <c r="H34" s="11"/>
      <c r="I34" s="11"/>
      <c r="J34" s="11"/>
      <c r="K34" s="11"/>
    </row>
    <row r="35" spans="2:11" x14ac:dyDescent="0.25">
      <c r="B35" s="8"/>
      <c r="C35" s="10"/>
      <c r="D35" s="11"/>
      <c r="E35" s="11"/>
      <c r="F35" s="11"/>
      <c r="G35" s="11"/>
      <c r="H35" s="11"/>
      <c r="I35" s="11"/>
      <c r="J35" s="11"/>
      <c r="K35" s="11"/>
    </row>
    <row r="36" spans="2:11" x14ac:dyDescent="0.25">
      <c r="B36" s="8"/>
      <c r="C36" s="10"/>
      <c r="D36" s="11"/>
      <c r="E36" s="11"/>
      <c r="F36" s="11"/>
      <c r="G36" s="11"/>
      <c r="H36" s="11"/>
      <c r="I36" s="11"/>
      <c r="J36" s="11"/>
      <c r="K36" s="11"/>
    </row>
    <row r="37" spans="2:11" x14ac:dyDescent="0.25">
      <c r="B37" s="8"/>
      <c r="C37" s="10"/>
      <c r="D37" s="11"/>
      <c r="E37" s="11"/>
      <c r="F37" s="11"/>
      <c r="G37" s="11"/>
      <c r="H37" s="11"/>
      <c r="I37" s="11"/>
      <c r="J37" s="11"/>
      <c r="K37" s="11"/>
    </row>
    <row r="38" spans="2:11" x14ac:dyDescent="0.25">
      <c r="B38" s="8"/>
      <c r="C38" s="10"/>
      <c r="D38" s="11"/>
      <c r="E38" s="11"/>
      <c r="F38" s="11"/>
      <c r="G38" s="11"/>
      <c r="H38" s="11"/>
      <c r="I38" s="11"/>
      <c r="J38" s="11"/>
      <c r="K38" s="11"/>
    </row>
    <row r="39" spans="2:11" x14ac:dyDescent="0.25">
      <c r="B39" s="8"/>
      <c r="C39" s="10"/>
      <c r="D39" s="11"/>
      <c r="E39" s="11"/>
      <c r="F39" s="11"/>
      <c r="G39" s="11"/>
      <c r="H39" s="11"/>
      <c r="I39" s="11"/>
      <c r="J39" s="11"/>
      <c r="K39" s="11"/>
    </row>
    <row r="40" spans="2:11" x14ac:dyDescent="0.25">
      <c r="B40" s="8"/>
      <c r="C40" s="10"/>
      <c r="D40" s="11"/>
      <c r="E40" s="11"/>
      <c r="F40" s="11"/>
      <c r="G40" s="11"/>
      <c r="H40" s="11"/>
      <c r="I40" s="11"/>
      <c r="J40" s="11"/>
      <c r="K40" s="11"/>
    </row>
    <row r="41" spans="2:11" x14ac:dyDescent="0.25">
      <c r="B41" s="8"/>
      <c r="C41" s="10"/>
      <c r="D41" s="11"/>
      <c r="E41" s="11"/>
      <c r="F41" s="11"/>
      <c r="G41" s="11"/>
      <c r="H41" s="11"/>
      <c r="I41" s="11"/>
      <c r="J41" s="11"/>
      <c r="K41" s="11"/>
    </row>
    <row r="42" spans="2:11" x14ac:dyDescent="0.25">
      <c r="B42" s="8"/>
      <c r="C42" s="10"/>
      <c r="D42" s="11"/>
      <c r="E42" s="11"/>
      <c r="F42" s="11"/>
      <c r="G42" s="11"/>
      <c r="H42" s="11"/>
      <c r="I42" s="11"/>
      <c r="J42" s="11"/>
      <c r="K42" s="11"/>
    </row>
    <row r="43" spans="2:11" x14ac:dyDescent="0.25">
      <c r="B43" s="8"/>
      <c r="C43" s="10"/>
      <c r="D43" s="11"/>
      <c r="E43" s="11"/>
      <c r="F43" s="11"/>
      <c r="G43" s="11"/>
      <c r="H43" s="11"/>
      <c r="I43" s="11"/>
      <c r="J43" s="11"/>
      <c r="K43" s="11"/>
    </row>
    <row r="44" spans="2:11" x14ac:dyDescent="0.25">
      <c r="B44" s="8"/>
      <c r="C44" s="10"/>
      <c r="D44" s="11"/>
      <c r="E44" s="11"/>
      <c r="F44" s="11"/>
      <c r="G44" s="11"/>
      <c r="H44" s="11"/>
      <c r="I44" s="11"/>
      <c r="J44" s="11"/>
      <c r="K44" s="11"/>
    </row>
    <row r="45" spans="2:11" x14ac:dyDescent="0.25">
      <c r="B45" s="8"/>
      <c r="C45" s="10"/>
      <c r="D45" s="11"/>
      <c r="E45" s="11"/>
      <c r="F45" s="11"/>
      <c r="G45" s="11"/>
      <c r="H45" s="11"/>
      <c r="I45" s="11"/>
      <c r="J45" s="11"/>
      <c r="K45" s="11"/>
    </row>
    <row r="46" spans="2:11" x14ac:dyDescent="0.25">
      <c r="B46" s="8"/>
      <c r="C46" s="10"/>
      <c r="D46" s="11"/>
      <c r="E46" s="11"/>
      <c r="F46" s="11"/>
      <c r="G46" s="11"/>
      <c r="H46" s="11"/>
      <c r="I46" s="11"/>
      <c r="J46" s="11"/>
      <c r="K46" s="11"/>
    </row>
    <row r="47" spans="2:11" x14ac:dyDescent="0.25">
      <c r="B47" s="8"/>
      <c r="C47" s="10"/>
      <c r="D47" s="11"/>
      <c r="E47" s="11"/>
      <c r="F47" s="11"/>
      <c r="G47" s="11"/>
      <c r="H47" s="11"/>
      <c r="I47" s="11"/>
      <c r="J47" s="11"/>
      <c r="K47" s="11"/>
    </row>
    <row r="48" spans="2:11" x14ac:dyDescent="0.25">
      <c r="B48" s="8"/>
      <c r="C48" s="10"/>
      <c r="D48" s="11"/>
      <c r="E48" s="11"/>
      <c r="F48" s="11"/>
      <c r="G48" s="11"/>
      <c r="H48" s="11"/>
      <c r="I48" s="11"/>
      <c r="J48" s="11"/>
      <c r="K48" s="11"/>
    </row>
    <row r="49" spans="2:11" x14ac:dyDescent="0.25">
      <c r="B49" s="8"/>
      <c r="C49" s="10"/>
      <c r="D49" s="11"/>
      <c r="E49" s="11"/>
      <c r="F49" s="11"/>
      <c r="G49" s="11"/>
      <c r="H49" s="11"/>
      <c r="I49" s="11"/>
      <c r="J49" s="11"/>
      <c r="K49" s="11"/>
    </row>
    <row r="50" spans="2:11" x14ac:dyDescent="0.25">
      <c r="B50" s="8"/>
      <c r="C50" s="10"/>
      <c r="D50" s="11"/>
      <c r="E50" s="11"/>
      <c r="F50" s="11"/>
      <c r="G50" s="11"/>
      <c r="H50" s="11"/>
      <c r="I50" s="11"/>
      <c r="J50" s="11"/>
      <c r="K50" s="11"/>
    </row>
    <row r="51" spans="2:11" x14ac:dyDescent="0.25">
      <c r="B51" s="8"/>
      <c r="C51" s="10"/>
      <c r="D51" s="11"/>
      <c r="E51" s="11"/>
      <c r="F51" s="11"/>
      <c r="G51" s="11"/>
      <c r="H51" s="11"/>
      <c r="I51" s="11"/>
      <c r="J51" s="11"/>
      <c r="K51" s="11"/>
    </row>
    <row r="52" spans="2:11" x14ac:dyDescent="0.25">
      <c r="B52" s="8"/>
      <c r="C52" s="10"/>
      <c r="D52" s="11"/>
      <c r="E52" s="11"/>
      <c r="F52" s="11"/>
      <c r="G52" s="11"/>
      <c r="H52" s="11"/>
      <c r="I52" s="11"/>
      <c r="J52" s="11"/>
      <c r="K52" s="11"/>
    </row>
    <row r="53" spans="2:11" x14ac:dyDescent="0.25">
      <c r="B53" s="8"/>
      <c r="C53" s="10"/>
      <c r="D53" s="11"/>
      <c r="E53" s="11"/>
      <c r="F53" s="11"/>
      <c r="G53" s="11"/>
      <c r="H53" s="11"/>
      <c r="I53" s="11"/>
      <c r="J53" s="11"/>
      <c r="K53" s="11"/>
    </row>
    <row r="54" spans="2:11" x14ac:dyDescent="0.25">
      <c r="B54" s="8"/>
      <c r="C54" s="10"/>
      <c r="D54" s="11"/>
      <c r="E54" s="11"/>
      <c r="F54" s="11"/>
      <c r="G54" s="11"/>
      <c r="H54" s="11"/>
      <c r="I54" s="11"/>
      <c r="J54" s="11"/>
      <c r="K54" s="11"/>
    </row>
    <row r="55" spans="2:11" x14ac:dyDescent="0.25">
      <c r="B55" s="8"/>
      <c r="C55" s="10"/>
      <c r="D55" s="11"/>
      <c r="E55" s="11"/>
      <c r="F55" s="11"/>
      <c r="G55" s="11"/>
      <c r="H55" s="11"/>
      <c r="I55" s="11"/>
      <c r="J55" s="11"/>
      <c r="K55" s="11"/>
    </row>
    <row r="56" spans="2:11" x14ac:dyDescent="0.25">
      <c r="B56" s="8"/>
      <c r="C56" s="10"/>
      <c r="D56" s="11"/>
      <c r="E56" s="11"/>
      <c r="F56" s="11"/>
      <c r="G56" s="11"/>
      <c r="H56" s="11"/>
      <c r="I56" s="11"/>
      <c r="J56" s="11"/>
      <c r="K56" s="11"/>
    </row>
    <row r="57" spans="2:11" x14ac:dyDescent="0.25">
      <c r="B57" s="8"/>
      <c r="C57" s="10"/>
      <c r="D57" s="11"/>
      <c r="E57" s="11"/>
      <c r="F57" s="11"/>
      <c r="G57" s="11"/>
      <c r="H57" s="11"/>
      <c r="I57" s="11"/>
      <c r="J57" s="11"/>
      <c r="K57" s="11"/>
    </row>
    <row r="58" spans="2:11" x14ac:dyDescent="0.25">
      <c r="B58" s="8"/>
      <c r="C58" s="10"/>
      <c r="D58" s="11"/>
      <c r="E58" s="11"/>
      <c r="F58" s="11"/>
      <c r="G58" s="11"/>
      <c r="H58" s="11"/>
      <c r="I58" s="11"/>
      <c r="J58" s="11"/>
      <c r="K58" s="11"/>
    </row>
    <row r="59" spans="2:11" x14ac:dyDescent="0.25">
      <c r="B59" s="8"/>
      <c r="C59" s="10"/>
      <c r="D59" s="11"/>
      <c r="E59" s="11"/>
      <c r="F59" s="11"/>
      <c r="G59" s="11"/>
      <c r="H59" s="11"/>
      <c r="I59" s="11"/>
      <c r="J59" s="11"/>
      <c r="K59" s="11"/>
    </row>
    <row r="60" spans="2:11" x14ac:dyDescent="0.25">
      <c r="B60" s="8"/>
      <c r="C60" s="10"/>
      <c r="D60" s="11"/>
      <c r="E60" s="11"/>
      <c r="F60" s="11"/>
      <c r="G60" s="11"/>
      <c r="H60" s="11"/>
      <c r="I60" s="11"/>
      <c r="J60" s="11"/>
      <c r="K60" s="11"/>
    </row>
    <row r="61" spans="2:11" x14ac:dyDescent="0.25">
      <c r="B61" s="8"/>
      <c r="C61" s="10"/>
      <c r="D61" s="11"/>
      <c r="E61" s="11"/>
      <c r="F61" s="11"/>
      <c r="G61" s="11"/>
      <c r="H61" s="11"/>
      <c r="I61" s="11"/>
      <c r="J61" s="11"/>
      <c r="K61" s="11"/>
    </row>
    <row r="62" spans="2:11" x14ac:dyDescent="0.25">
      <c r="B62" s="8"/>
      <c r="C62" s="10"/>
      <c r="D62" s="11"/>
      <c r="E62" s="11"/>
      <c r="F62" s="11"/>
      <c r="G62" s="11"/>
      <c r="H62" s="11"/>
      <c r="I62" s="11"/>
      <c r="J62" s="11"/>
      <c r="K62" s="11"/>
    </row>
    <row r="63" spans="2:11" x14ac:dyDescent="0.25">
      <c r="B63" s="8"/>
      <c r="C63" s="10"/>
      <c r="D63" s="11"/>
      <c r="E63" s="11"/>
      <c r="F63" s="11"/>
      <c r="G63" s="11"/>
      <c r="H63" s="11"/>
      <c r="I63" s="11"/>
      <c r="J63" s="11"/>
      <c r="K63" s="11"/>
    </row>
    <row r="64" spans="2:11" x14ac:dyDescent="0.25">
      <c r="B64" s="8"/>
      <c r="C64" s="10"/>
      <c r="D64" s="11"/>
      <c r="E64" s="11"/>
      <c r="F64" s="11"/>
      <c r="G64" s="11"/>
      <c r="H64" s="11"/>
      <c r="I64" s="11"/>
      <c r="J64" s="11"/>
      <c r="K64" s="11"/>
    </row>
    <row r="65" spans="2:11" x14ac:dyDescent="0.25">
      <c r="B65" s="8"/>
      <c r="C65" s="10"/>
      <c r="D65" s="11"/>
      <c r="E65" s="11"/>
      <c r="F65" s="11"/>
      <c r="G65" s="11"/>
      <c r="H65" s="11"/>
      <c r="I65" s="11"/>
      <c r="J65" s="11"/>
      <c r="K65" s="11"/>
    </row>
    <row r="66" spans="2:11" x14ac:dyDescent="0.25">
      <c r="B66" s="8"/>
      <c r="C66" s="10"/>
      <c r="D66" s="11"/>
      <c r="E66" s="11"/>
      <c r="F66" s="11"/>
      <c r="G66" s="11"/>
      <c r="H66" s="11"/>
      <c r="I66" s="11"/>
      <c r="J66" s="11"/>
      <c r="K66" s="11"/>
    </row>
    <row r="67" spans="2:11" x14ac:dyDescent="0.25">
      <c r="B67" s="8"/>
      <c r="C67" s="10"/>
      <c r="D67" s="11"/>
      <c r="E67" s="11"/>
      <c r="F67" s="11"/>
      <c r="G67" s="11"/>
      <c r="H67" s="11"/>
      <c r="I67" s="11"/>
      <c r="J67" s="11"/>
      <c r="K67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ddTres">
              <controlPr defaultSize="0" autoFill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ddBorY1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ddBorY2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ddBorY3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1" r:id="rId7" name="ddBorY4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2" r:id="rId8" name="ddBorY5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3" r:id="rId9" name="ddBorY6">
              <controlPr defaultSize="0" autoFill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4" r:id="rId10" name="ddBorY7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5" r:id="rId11" name="ddBorY8">
              <controlPr defaultSize="0" autoFill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6" r:id="rId12" name="ddBorY9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7" r:id="rId13" name="ddBorY10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8" r:id="rId14" name="ddBorY11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9" r:id="rId15" name="ddBorY1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0" r:id="rId16" name="ddBorY13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1" r:id="rId17" name="ddBorY14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2" r:id="rId18" name="ddBorY15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3" r:id="rId19" name="ddBorY16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4" r:id="rId20" name="ddBorY17">
              <controlPr defaultSize="0" autoFill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5" r:id="rId21" name="ddBorY18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6" r:id="rId22" name="ddBorY19">
              <controlPr defaultSize="0" autoFill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7" r:id="rId23" name="ddBorY20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8" r:id="rId24" name="ddBorY21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9" r:id="rId25" name="ddBorY22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0" r:id="rId26" name="ddBorY23">
              <controlPr defaultSize="0" autoFill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1" r:id="rId27" name="ddBorY24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2" r:id="rId28" name="ddBorY25">
              <controlPr defaultSize="0" autoFill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3" r:id="rId29" name="ddBorY2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4" r:id="rId30" name="ddBorY27">
              <controlPr defaultSize="0" autoFill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5" r:id="rId31" name="ddBorY28">
              <controlPr defaultSize="0" autoFill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6" r:id="rId32" name="ddBorY29">
              <controlPr defaultSize="0" autoFill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7" r:id="rId33" name="ddBorY30">
              <controlPr defaultSize="0" autoFill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8" r:id="rId34" name="ddBorY31">
              <controlPr defaultSize="0" autoFill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9" r:id="rId35" name="ddBorY32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0" r:id="rId36" name="ddBorY33">
              <controlPr defaultSize="0" autoFill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1" r:id="rId37" name="ddBorY34">
              <controlPr defaultSize="0" autoFill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2" r:id="rId38" name="ddBorY35">
              <controlPr defaultSize="0" autoFill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3" r:id="rId39" name="ddBorY36">
              <controlPr defaultSize="0" autoFill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4" r:id="rId40" name="ddBorY37">
              <controlPr defaultSize="0" autoFill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5" r:id="rId41" name="ddBorY38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6" r:id="rId42" name="ddBorY39">
              <controlPr defaultSize="0" autoFill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7" r:id="rId43" name="ddBorY40">
              <controlPr defaultSize="0" autoFill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8" r:id="rId44" name="ddBorY41">
              <controlPr defaultSize="0" autoFill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9" r:id="rId45" name="ddBorY42">
              <controlPr defaultSize="0" autoFill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0" r:id="rId46" name="ddBorY43">
              <controlPr defaultSize="0" autoFill="0" autoPict="0">
                <anchor mov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1" r:id="rId47" name="ddBorY44">
              <controlPr defaultSize="0" autoFill="0" autoPict="0">
                <anchor moveWithCells="1">
                  <from>
                    <xdr:col>1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2" r:id="rId48" name="ddBorY45">
              <controlPr defaultSize="0" autoFill="0" autoPict="0">
                <anchor moveWithCells="1">
                  <from>
                    <xdr:col>1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3" r:id="rId49" name="ddBorY46">
              <controlPr defaultSize="0" autoFill="0" autoPict="0">
                <anchor moveWithCells="1">
                  <from>
                    <xdr:col>1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4" r:id="rId50" name="ddBorY47">
              <controlPr defaultSize="0" autoFill="0" autoPict="0">
                <anchor moveWithCells="1">
                  <from>
                    <xdr:col>1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5" r:id="rId51" name="ddBorY48">
              <controlPr defaultSize="0" autoFill="0" autoPict="0">
                <anchor moveWithCells="1">
                  <from>
                    <xdr:col>1</xdr:col>
                    <xdr:colOff>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6" r:id="rId52" name="ddBorY49">
              <controlPr defaultSize="0" autoFill="0" autoPict="0">
                <anchor moveWithCells="1">
                  <from>
                    <xdr:col>1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7" r:id="rId53" name="ddBorY50">
              <controlPr defaultSize="0" autoFill="0" autoPict="0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8" r:id="rId54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9" r:id="rId55" name="ddCuni1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0" r:id="rId56" name="ddCyn1">
              <controlPr defaultSize="0" autoFill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1" r:id="rId57" name="ddCuni2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2" r:id="rId58" name="ddCyn2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3" r:id="rId59" name="ddCuni3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4" r:id="rId60" name="ddCyn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5" r:id="rId61" name="ddCuni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6" r:id="rId62" name="ddCyn4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7" r:id="rId63" name="ddCuni5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8" r:id="rId64" name="ddCyn5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9" r:id="rId65" name="ddCuni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0" r:id="rId66" name="ddCyn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1" r:id="rId67" name="ddCuni7">
              <controlPr defaultSize="0" autoFill="0" autoPict="0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2" r:id="rId68" name="ddCyn7">
              <controlPr defaultSize="0" autoFill="0" autoPict="0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3" r:id="rId69" name="ddCuni8">
              <controlPr defaultSize="0" autoFill="0" autoPict="0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4" r:id="rId70" name="ddCyn8">
              <controlPr defaultSize="0" autoFill="0" autoPict="0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45B31-4FD3-49C6-9C56-E535889C567C}">
  <sheetPr codeName="Sheet7"/>
  <dimension ref="B2:K67"/>
  <sheetViews>
    <sheetView workbookViewId="0">
      <selection activeCell="L24" sqref="L24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133</v>
      </c>
      <c r="G5" s="1" t="s">
        <v>120</v>
      </c>
      <c r="K5" s="1" t="s">
        <v>118</v>
      </c>
    </row>
    <row r="7" spans="2:11" x14ac:dyDescent="0.25">
      <c r="B7" s="1" t="s">
        <v>5</v>
      </c>
      <c r="E7" s="8" t="s">
        <v>137</v>
      </c>
    </row>
    <row r="9" spans="2:11" x14ac:dyDescent="0.25">
      <c r="B9" s="1" t="s">
        <v>109</v>
      </c>
      <c r="E9" s="3">
        <v>285</v>
      </c>
    </row>
    <row r="13" spans="2:11" x14ac:dyDescent="0.25">
      <c r="C13" s="1" t="s">
        <v>110</v>
      </c>
      <c r="D13" s="1" t="s">
        <v>121</v>
      </c>
      <c r="E13" s="1" t="s">
        <v>114</v>
      </c>
      <c r="F13" s="1" t="s">
        <v>115</v>
      </c>
      <c r="G13" s="1" t="s">
        <v>116</v>
      </c>
      <c r="H13" s="1" t="s">
        <v>122</v>
      </c>
      <c r="I13" s="1" t="s">
        <v>123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</row>
    <row r="17" spans="2:9" x14ac:dyDescent="0.25">
      <c r="B17" s="1" t="s">
        <v>119</v>
      </c>
    </row>
    <row r="18" spans="2:9" x14ac:dyDescent="0.25">
      <c r="B18" s="8"/>
      <c r="C18" s="10">
        <v>7500</v>
      </c>
      <c r="D18" s="23">
        <v>0.95699999999999996</v>
      </c>
      <c r="E18" s="11"/>
      <c r="F18" s="11"/>
      <c r="G18" s="23">
        <v>0.69510000000000005</v>
      </c>
      <c r="H18" s="11"/>
      <c r="I18" s="11"/>
    </row>
    <row r="19" spans="2:9" x14ac:dyDescent="0.25">
      <c r="B19" s="8"/>
      <c r="C19" s="10">
        <v>7000</v>
      </c>
      <c r="D19" s="23">
        <v>0.96260000000000001</v>
      </c>
      <c r="E19" s="11"/>
      <c r="F19" s="11"/>
      <c r="G19" s="23">
        <v>0.69110000000000005</v>
      </c>
      <c r="H19" s="11"/>
      <c r="I19" s="11"/>
    </row>
    <row r="20" spans="2:9" x14ac:dyDescent="0.25">
      <c r="B20" s="8"/>
      <c r="C20" s="10">
        <v>6500</v>
      </c>
      <c r="D20" s="23">
        <v>0.96850000000000003</v>
      </c>
      <c r="E20" s="11"/>
      <c r="F20" s="11"/>
      <c r="G20" s="23">
        <v>0.68679999999999997</v>
      </c>
      <c r="H20" s="11"/>
      <c r="I20" s="11"/>
    </row>
    <row r="21" spans="2:9" x14ac:dyDescent="0.25">
      <c r="B21" s="8"/>
      <c r="C21" s="10">
        <v>6000</v>
      </c>
      <c r="D21" s="23">
        <v>0.97489999999999999</v>
      </c>
      <c r="E21" s="11"/>
      <c r="F21" s="11"/>
      <c r="G21" s="23">
        <v>0.68230000000000002</v>
      </c>
      <c r="H21" s="11"/>
      <c r="I21" s="11"/>
    </row>
    <row r="22" spans="2:9" x14ac:dyDescent="0.25">
      <c r="B22" s="8"/>
      <c r="C22" s="10">
        <v>5723</v>
      </c>
      <c r="D22" s="23">
        <v>0.97870000000000001</v>
      </c>
      <c r="E22" s="11"/>
      <c r="F22" s="11"/>
      <c r="G22" s="23">
        <v>0.67969999999999997</v>
      </c>
      <c r="H22" s="11"/>
      <c r="I22" s="11"/>
    </row>
    <row r="23" spans="2:9" x14ac:dyDescent="0.25">
      <c r="B23" s="8"/>
      <c r="C23" s="10">
        <v>5500</v>
      </c>
      <c r="D23" s="23">
        <v>0.9819</v>
      </c>
      <c r="E23" s="11"/>
      <c r="F23" s="11"/>
      <c r="G23" s="23">
        <v>0.67749999999999999</v>
      </c>
      <c r="H23" s="11"/>
      <c r="I23" s="11"/>
    </row>
    <row r="24" spans="2:9" x14ac:dyDescent="0.25">
      <c r="B24" s="8"/>
      <c r="C24" s="10">
        <v>5000</v>
      </c>
      <c r="D24" s="23">
        <v>0.98950000000000005</v>
      </c>
      <c r="E24" s="11"/>
      <c r="F24" s="11"/>
      <c r="G24" s="23">
        <v>0.67230000000000001</v>
      </c>
      <c r="H24" s="11"/>
      <c r="I24" s="11"/>
    </row>
    <row r="25" spans="2:9" x14ac:dyDescent="0.25">
      <c r="B25" s="8"/>
      <c r="C25" s="10">
        <v>4800</v>
      </c>
      <c r="D25" s="23">
        <v>0.99270000000000003</v>
      </c>
      <c r="E25" s="11"/>
      <c r="F25" s="11"/>
      <c r="G25" s="23">
        <v>0.67010000000000003</v>
      </c>
      <c r="H25" s="11"/>
      <c r="I25" s="11"/>
    </row>
    <row r="26" spans="2:9" x14ac:dyDescent="0.25">
      <c r="B26" s="8"/>
      <c r="C26" s="10">
        <v>4700</v>
      </c>
      <c r="D26" s="23">
        <v>0.99429999999999996</v>
      </c>
      <c r="E26" s="11"/>
      <c r="F26" s="11"/>
      <c r="G26" s="23">
        <v>0.66900000000000004</v>
      </c>
      <c r="H26" s="11"/>
      <c r="I26" s="11"/>
    </row>
    <row r="27" spans="2:9" x14ac:dyDescent="0.25">
      <c r="B27" s="8"/>
      <c r="C27" s="10">
        <v>4600</v>
      </c>
      <c r="D27" s="23">
        <v>0.996</v>
      </c>
      <c r="E27" s="11"/>
      <c r="F27" s="11"/>
      <c r="G27" s="23">
        <v>0.66790000000000005</v>
      </c>
      <c r="H27" s="11"/>
      <c r="I27" s="11"/>
    </row>
    <row r="28" spans="2:9" x14ac:dyDescent="0.25">
      <c r="B28" s="8"/>
      <c r="C28" s="10">
        <v>4500</v>
      </c>
      <c r="D28" s="23">
        <v>0.99770000000000003</v>
      </c>
      <c r="E28" s="11"/>
      <c r="F28" s="11"/>
      <c r="G28" s="23">
        <v>0.66669999999999996</v>
      </c>
      <c r="H28" s="11"/>
      <c r="I28" s="11"/>
    </row>
    <row r="29" spans="2:9" x14ac:dyDescent="0.25">
      <c r="B29" s="8"/>
      <c r="C29" s="10">
        <v>4400</v>
      </c>
      <c r="D29" s="23">
        <v>0.99950000000000006</v>
      </c>
      <c r="E29" s="11"/>
      <c r="F29" s="11"/>
      <c r="G29" s="23">
        <v>0.66549999999999998</v>
      </c>
      <c r="H29" s="11"/>
      <c r="I29" s="11"/>
    </row>
    <row r="30" spans="2:9" x14ac:dyDescent="0.25">
      <c r="B30" s="8"/>
      <c r="C30" s="10">
        <v>4371</v>
      </c>
      <c r="D30" s="23">
        <v>1</v>
      </c>
      <c r="E30" s="11"/>
      <c r="F30" s="11"/>
      <c r="G30" s="23">
        <v>0.66520000000000001</v>
      </c>
      <c r="H30" s="11"/>
      <c r="I30" s="11"/>
    </row>
    <row r="31" spans="2:9" x14ac:dyDescent="0.25">
      <c r="B31" s="8"/>
      <c r="C31" s="10">
        <v>4362</v>
      </c>
      <c r="D31" s="23">
        <v>1.0005999999999999</v>
      </c>
      <c r="E31" s="11"/>
      <c r="F31" s="11"/>
      <c r="G31" s="11"/>
      <c r="H31" s="11"/>
      <c r="I31" s="11"/>
    </row>
    <row r="32" spans="2:9" x14ac:dyDescent="0.25">
      <c r="B32" s="8"/>
      <c r="C32" s="10">
        <v>4343</v>
      </c>
      <c r="D32" s="23">
        <v>1.0018</v>
      </c>
      <c r="E32" s="11"/>
      <c r="F32" s="11"/>
      <c r="G32" s="11"/>
      <c r="H32" s="11"/>
      <c r="I32" s="11"/>
    </row>
    <row r="33" spans="2:9" x14ac:dyDescent="0.25">
      <c r="B33" s="8"/>
      <c r="C33" s="10">
        <v>4326</v>
      </c>
      <c r="D33" s="23">
        <v>1.0028999999999999</v>
      </c>
      <c r="E33" s="11"/>
      <c r="F33" s="11"/>
      <c r="G33" s="11"/>
      <c r="H33" s="11"/>
      <c r="I33" s="11"/>
    </row>
    <row r="34" spans="2:9" x14ac:dyDescent="0.25">
      <c r="B34" s="8"/>
      <c r="C34" s="10">
        <v>4318</v>
      </c>
      <c r="D34" s="23">
        <v>1.0034000000000001</v>
      </c>
      <c r="E34" s="11"/>
      <c r="F34" s="11"/>
      <c r="G34" s="11"/>
      <c r="H34" s="11"/>
      <c r="I34" s="11"/>
    </row>
    <row r="35" spans="2:9" x14ac:dyDescent="0.25">
      <c r="B35" s="8"/>
      <c r="C35" s="10">
        <v>4312</v>
      </c>
      <c r="D35" s="23">
        <v>1.0038</v>
      </c>
      <c r="E35" s="11"/>
      <c r="F35" s="11"/>
      <c r="G35" s="11"/>
      <c r="H35" s="11"/>
      <c r="I35" s="11"/>
    </row>
    <row r="36" spans="2:9" x14ac:dyDescent="0.25">
      <c r="B36" s="8"/>
      <c r="C36" s="10">
        <v>4260</v>
      </c>
      <c r="D36" s="23">
        <v>1.0073000000000001</v>
      </c>
      <c r="E36" s="11"/>
      <c r="F36" s="11"/>
      <c r="G36" s="11"/>
      <c r="H36" s="11"/>
      <c r="I36" s="11"/>
    </row>
    <row r="37" spans="2:9" x14ac:dyDescent="0.25">
      <c r="B37" s="8"/>
      <c r="C37" s="10">
        <v>4161</v>
      </c>
      <c r="D37" s="23">
        <v>1.0142</v>
      </c>
      <c r="E37" s="11"/>
      <c r="F37" s="11"/>
      <c r="G37" s="11"/>
      <c r="H37" s="11"/>
      <c r="I37" s="11"/>
    </row>
    <row r="38" spans="2:9" x14ac:dyDescent="0.25">
      <c r="B38" s="8"/>
      <c r="C38" s="10">
        <v>3995</v>
      </c>
      <c r="D38" s="23">
        <v>1.0269999999999999</v>
      </c>
      <c r="E38" s="11"/>
      <c r="F38" s="11"/>
      <c r="G38" s="11"/>
      <c r="H38" s="11"/>
      <c r="I38" s="11"/>
    </row>
    <row r="39" spans="2:9" x14ac:dyDescent="0.25">
      <c r="B39" s="8"/>
      <c r="C39" s="10">
        <v>3711</v>
      </c>
      <c r="D39" s="23">
        <v>1.0525</v>
      </c>
      <c r="E39" s="11"/>
      <c r="F39" s="11"/>
      <c r="G39" s="11"/>
      <c r="H39" s="11"/>
      <c r="I39" s="11"/>
    </row>
    <row r="40" spans="2:9" x14ac:dyDescent="0.25">
      <c r="B40" s="8"/>
      <c r="C40" s="10">
        <v>3271</v>
      </c>
      <c r="D40" s="23">
        <v>1.1043000000000001</v>
      </c>
      <c r="E40" s="11"/>
      <c r="F40" s="11"/>
      <c r="G40" s="11"/>
      <c r="H40" s="11"/>
      <c r="I40" s="11"/>
    </row>
    <row r="41" spans="2:9" x14ac:dyDescent="0.25">
      <c r="B41" s="8"/>
      <c r="C41" s="10">
        <v>2684</v>
      </c>
      <c r="D41" s="23">
        <v>1.2089000000000001</v>
      </c>
      <c r="E41" s="11"/>
      <c r="F41" s="11"/>
      <c r="G41" s="11"/>
      <c r="H41" s="11"/>
      <c r="I41" s="11"/>
    </row>
    <row r="42" spans="2:9" x14ac:dyDescent="0.25">
      <c r="B42" s="8"/>
      <c r="C42" s="10">
        <v>2023</v>
      </c>
      <c r="D42" s="23">
        <v>1.4201999999999999</v>
      </c>
      <c r="E42" s="11"/>
      <c r="F42" s="11"/>
      <c r="G42" s="11"/>
      <c r="H42" s="11"/>
      <c r="I42" s="11"/>
    </row>
    <row r="43" spans="2:9" x14ac:dyDescent="0.25">
      <c r="B43" s="8"/>
      <c r="C43" s="10">
        <v>1573</v>
      </c>
      <c r="D43" s="23">
        <v>1.6858</v>
      </c>
      <c r="E43" s="11"/>
      <c r="F43" s="11"/>
      <c r="G43" s="11"/>
      <c r="H43" s="11"/>
      <c r="I43" s="11"/>
    </row>
    <row r="44" spans="2:9" x14ac:dyDescent="0.25">
      <c r="B44" s="8"/>
      <c r="C44" s="10">
        <v>1195</v>
      </c>
      <c r="D44" s="23">
        <v>2.0836000000000001</v>
      </c>
      <c r="E44" s="11"/>
      <c r="F44" s="11"/>
      <c r="G44" s="11"/>
      <c r="H44" s="11"/>
      <c r="I44" s="11"/>
    </row>
    <row r="45" spans="2:9" x14ac:dyDescent="0.25">
      <c r="B45" s="8"/>
      <c r="C45" s="10">
        <v>865</v>
      </c>
      <c r="D45" s="23">
        <v>2.7381000000000002</v>
      </c>
      <c r="E45" s="11"/>
      <c r="F45" s="11"/>
      <c r="G45" s="11"/>
      <c r="H45" s="11"/>
      <c r="I45" s="11"/>
    </row>
    <row r="46" spans="2:9" x14ac:dyDescent="0.25">
      <c r="B46" s="8"/>
      <c r="C46" s="10"/>
      <c r="D46" s="11"/>
      <c r="E46" s="11"/>
      <c r="F46" s="11"/>
      <c r="G46" s="11"/>
      <c r="H46" s="11"/>
      <c r="I46" s="11"/>
    </row>
    <row r="47" spans="2:9" x14ac:dyDescent="0.25">
      <c r="B47" s="8"/>
      <c r="C47" s="10"/>
      <c r="D47" s="11"/>
      <c r="E47" s="11"/>
      <c r="F47" s="11"/>
      <c r="G47" s="11"/>
      <c r="H47" s="11"/>
      <c r="I47" s="11"/>
    </row>
    <row r="48" spans="2:9" x14ac:dyDescent="0.25">
      <c r="B48" s="8"/>
      <c r="C48" s="10"/>
      <c r="D48" s="11"/>
      <c r="E48" s="11"/>
      <c r="F48" s="11"/>
      <c r="G48" s="11"/>
      <c r="H48" s="11"/>
      <c r="I48" s="11"/>
    </row>
    <row r="49" spans="2:9" x14ac:dyDescent="0.25">
      <c r="B49" s="8"/>
      <c r="C49" s="10"/>
      <c r="D49" s="11"/>
      <c r="E49" s="11"/>
      <c r="F49" s="11"/>
      <c r="G49" s="11"/>
      <c r="H49" s="11"/>
      <c r="I49" s="11"/>
    </row>
    <row r="50" spans="2:9" x14ac:dyDescent="0.25">
      <c r="B50" s="8"/>
      <c r="C50" s="10"/>
      <c r="D50" s="11"/>
      <c r="E50" s="11"/>
      <c r="F50" s="11"/>
      <c r="G50" s="11"/>
      <c r="H50" s="11"/>
      <c r="I50" s="11"/>
    </row>
    <row r="51" spans="2:9" x14ac:dyDescent="0.25">
      <c r="B51" s="8"/>
      <c r="C51" s="10"/>
      <c r="D51" s="11"/>
      <c r="E51" s="11"/>
      <c r="F51" s="11"/>
      <c r="G51" s="11"/>
      <c r="H51" s="11"/>
      <c r="I51" s="11"/>
    </row>
    <row r="52" spans="2:9" x14ac:dyDescent="0.25">
      <c r="B52" s="8"/>
      <c r="C52" s="10"/>
      <c r="D52" s="11"/>
      <c r="E52" s="11"/>
      <c r="F52" s="11"/>
      <c r="G52" s="11"/>
      <c r="H52" s="11"/>
      <c r="I52" s="11"/>
    </row>
    <row r="53" spans="2:9" x14ac:dyDescent="0.25">
      <c r="B53" s="8"/>
      <c r="C53" s="10"/>
      <c r="D53" s="11"/>
      <c r="E53" s="11"/>
      <c r="F53" s="11"/>
      <c r="G53" s="11"/>
      <c r="H53" s="11"/>
      <c r="I53" s="11"/>
    </row>
    <row r="54" spans="2:9" x14ac:dyDescent="0.25">
      <c r="B54" s="8"/>
      <c r="C54" s="10"/>
      <c r="D54" s="11"/>
      <c r="E54" s="11"/>
      <c r="F54" s="11"/>
      <c r="G54" s="11"/>
      <c r="H54" s="11"/>
      <c r="I54" s="11"/>
    </row>
    <row r="55" spans="2:9" x14ac:dyDescent="0.25">
      <c r="B55" s="8"/>
      <c r="C55" s="10"/>
      <c r="D55" s="11"/>
      <c r="E55" s="11"/>
      <c r="F55" s="11"/>
      <c r="G55" s="11"/>
      <c r="H55" s="11"/>
      <c r="I55" s="11"/>
    </row>
    <row r="56" spans="2:9" x14ac:dyDescent="0.25">
      <c r="B56" s="8"/>
      <c r="C56" s="10"/>
      <c r="D56" s="11"/>
      <c r="E56" s="11"/>
      <c r="F56" s="11"/>
      <c r="G56" s="11"/>
      <c r="H56" s="11"/>
      <c r="I56" s="11"/>
    </row>
    <row r="57" spans="2:9" x14ac:dyDescent="0.25">
      <c r="B57" s="8"/>
      <c r="C57" s="10"/>
      <c r="D57" s="11"/>
      <c r="E57" s="11"/>
      <c r="F57" s="11"/>
      <c r="G57" s="11"/>
      <c r="H57" s="11"/>
      <c r="I57" s="11"/>
    </row>
    <row r="58" spans="2:9" x14ac:dyDescent="0.25">
      <c r="B58" s="8"/>
      <c r="C58" s="10"/>
      <c r="D58" s="11"/>
      <c r="E58" s="11"/>
      <c r="F58" s="11"/>
      <c r="G58" s="11"/>
      <c r="H58" s="11"/>
      <c r="I58" s="11"/>
    </row>
    <row r="59" spans="2:9" x14ac:dyDescent="0.25">
      <c r="B59" s="8"/>
      <c r="C59" s="10"/>
      <c r="D59" s="11"/>
      <c r="E59" s="11"/>
      <c r="F59" s="11"/>
      <c r="G59" s="11"/>
      <c r="H59" s="11"/>
      <c r="I59" s="11"/>
    </row>
    <row r="60" spans="2:9" x14ac:dyDescent="0.25">
      <c r="B60" s="8"/>
      <c r="C60" s="10"/>
      <c r="D60" s="11"/>
      <c r="E60" s="11"/>
      <c r="F60" s="11"/>
      <c r="G60" s="11"/>
      <c r="H60" s="11"/>
      <c r="I60" s="11"/>
    </row>
    <row r="61" spans="2:9" x14ac:dyDescent="0.25">
      <c r="B61" s="8"/>
      <c r="C61" s="10"/>
      <c r="D61" s="11"/>
      <c r="E61" s="11"/>
      <c r="F61" s="11"/>
      <c r="G61" s="11"/>
      <c r="H61" s="11"/>
      <c r="I61" s="11"/>
    </row>
    <row r="62" spans="2:9" x14ac:dyDescent="0.25">
      <c r="B62" s="8"/>
      <c r="C62" s="10"/>
      <c r="D62" s="11"/>
      <c r="E62" s="11"/>
      <c r="F62" s="11"/>
      <c r="G62" s="11"/>
      <c r="H62" s="11"/>
      <c r="I62" s="11"/>
    </row>
    <row r="63" spans="2:9" x14ac:dyDescent="0.25">
      <c r="B63" s="8"/>
      <c r="C63" s="10"/>
      <c r="D63" s="11"/>
      <c r="E63" s="11"/>
      <c r="F63" s="11"/>
      <c r="G63" s="11"/>
      <c r="H63" s="11"/>
      <c r="I63" s="11"/>
    </row>
    <row r="64" spans="2:9" x14ac:dyDescent="0.25">
      <c r="B64" s="8"/>
      <c r="C64" s="10"/>
      <c r="D64" s="11"/>
      <c r="E64" s="11"/>
      <c r="F64" s="11"/>
      <c r="G64" s="11"/>
      <c r="H64" s="11"/>
      <c r="I64" s="11"/>
    </row>
    <row r="65" spans="2:9" x14ac:dyDescent="0.25">
      <c r="B65" s="8"/>
      <c r="C65" s="10"/>
      <c r="D65" s="11"/>
      <c r="E65" s="11"/>
      <c r="F65" s="11"/>
      <c r="G65" s="11"/>
      <c r="H65" s="11"/>
      <c r="I65" s="11"/>
    </row>
    <row r="66" spans="2:9" x14ac:dyDescent="0.25">
      <c r="B66" s="8"/>
      <c r="C66" s="10"/>
      <c r="D66" s="11"/>
      <c r="E66" s="11"/>
      <c r="F66" s="11"/>
      <c r="G66" s="11"/>
      <c r="H66" s="11"/>
      <c r="I66" s="11"/>
    </row>
    <row r="67" spans="2:9" x14ac:dyDescent="0.25">
      <c r="B67" s="8"/>
      <c r="C67" s="10"/>
      <c r="D67" s="11"/>
      <c r="E67" s="11"/>
      <c r="F67" s="11"/>
      <c r="G67" s="11"/>
      <c r="H67" s="11"/>
      <c r="I67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3" name="ddTres">
              <controlPr defaultSize="0" autoFill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4" name="ddBorY1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5" name="ddBorY2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6" name="ddBorY3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7" name="ddBorY4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8" name="ddBorY5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9" name="ddBorY6">
              <controlPr defaultSize="0" autoFill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0" name="ddBorY7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1" name="ddBorY8">
              <controlPr defaultSize="0" autoFill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2" name="ddBorY9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3" name="ddBorY10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4" name="ddBorY11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5" name="ddBorY1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6" name="ddBorY13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7" name="ddBorY14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8" name="ddBorY15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19" name="ddBorY16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0" name="ddBorY17">
              <controlPr defaultSize="0" autoFill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1" name="ddBorY18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2" name="ddBorY19">
              <controlPr defaultSize="0" autoFill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3" name="ddBorY20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4" name="ddBorY21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5" r:id="rId25" name="ddBorY22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6" r:id="rId26" name="ddBorY23">
              <controlPr defaultSize="0" autoFill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7" r:id="rId27" name="ddBorY24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8" r:id="rId28" name="ddBorY25">
              <controlPr defaultSize="0" autoFill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9" r:id="rId29" name="ddBorY2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0" r:id="rId30" name="ddBorY27">
              <controlPr defaultSize="0" autoFill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1" r:id="rId31" name="ddBorY28">
              <controlPr defaultSize="0" autoFill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2" r:id="rId32" name="ddBorY29">
              <controlPr defaultSize="0" autoFill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3" r:id="rId33" name="ddBorY30">
              <controlPr defaultSize="0" autoFill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4" r:id="rId34" name="ddBorY31">
              <controlPr defaultSize="0" autoFill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5" r:id="rId35" name="ddBorY32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6" r:id="rId36" name="ddBorY33">
              <controlPr defaultSize="0" autoFill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7" r:id="rId37" name="ddBorY34">
              <controlPr defaultSize="0" autoFill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8" r:id="rId38" name="ddBorY35">
              <controlPr defaultSize="0" autoFill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9" r:id="rId39" name="ddBorY36">
              <controlPr defaultSize="0" autoFill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0" r:id="rId40" name="ddBorY37">
              <controlPr defaultSize="0" autoFill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1" r:id="rId41" name="ddBorY38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2" r:id="rId42" name="ddBorY39">
              <controlPr defaultSize="0" autoFill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3" r:id="rId43" name="ddBorY40">
              <controlPr defaultSize="0" autoFill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4" r:id="rId44" name="ddBorY41">
              <controlPr defaultSize="0" autoFill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5" r:id="rId45" name="ddBorY42">
              <controlPr defaultSize="0" autoFill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6" r:id="rId46" name="ddBorY43">
              <controlPr defaultSize="0" autoFill="0" autoPict="0">
                <anchor mov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7" r:id="rId47" name="ddBorY44">
              <controlPr defaultSize="0" autoFill="0" autoPict="0">
                <anchor moveWithCells="1">
                  <from>
                    <xdr:col>1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8" r:id="rId48" name="ddBorY45">
              <controlPr defaultSize="0" autoFill="0" autoPict="0">
                <anchor moveWithCells="1">
                  <from>
                    <xdr:col>1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9" r:id="rId49" name="ddBorY46">
              <controlPr defaultSize="0" autoFill="0" autoPict="0">
                <anchor moveWithCells="1">
                  <from>
                    <xdr:col>1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0" r:id="rId50" name="ddBorY47">
              <controlPr defaultSize="0" autoFill="0" autoPict="0">
                <anchor moveWithCells="1">
                  <from>
                    <xdr:col>1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1" r:id="rId51" name="ddBorY48">
              <controlPr defaultSize="0" autoFill="0" autoPict="0">
                <anchor moveWithCells="1">
                  <from>
                    <xdr:col>1</xdr:col>
                    <xdr:colOff>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2" r:id="rId52" name="ddBorY49">
              <controlPr defaultSize="0" autoFill="0" autoPict="0">
                <anchor moveWithCells="1">
                  <from>
                    <xdr:col>1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3" r:id="rId53" name="ddBorY50">
              <controlPr defaultSize="0" autoFill="0" autoPict="0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4" r:id="rId54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5" r:id="rId55" name="ddSliq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6" r:id="rId56" name="ddCuni1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7" r:id="rId57" name="ddCyn1">
              <controlPr defaultSize="0" autoFill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8" r:id="rId58" name="ddCuni2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9" r:id="rId59" name="ddCyn2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0" r:id="rId60" name="ddCuni3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1" r:id="rId61" name="ddCyn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2" r:id="rId62" name="ddCuni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3" r:id="rId63" name="ddCyn4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4" r:id="rId64" name="ddCuni5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5" r:id="rId65" name="ddCyn5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6" r:id="rId66" name="ddCuni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7" r:id="rId67" name="ddCyn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6679F-A2A4-4998-B294-0FCACE782DA0}">
  <sheetPr codeName="Sheet8"/>
  <dimension ref="B2:K67"/>
  <sheetViews>
    <sheetView workbookViewId="0">
      <selection activeCell="I19" sqref="I19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181</v>
      </c>
      <c r="G5" s="1" t="s">
        <v>183</v>
      </c>
      <c r="K5" s="1" t="s">
        <v>118</v>
      </c>
    </row>
    <row r="7" spans="2:11" x14ac:dyDescent="0.25">
      <c r="B7" s="1" t="s">
        <v>5</v>
      </c>
      <c r="E7" s="8" t="s">
        <v>137</v>
      </c>
    </row>
    <row r="13" spans="2:11" x14ac:dyDescent="0.25">
      <c r="C13" s="1" t="s">
        <v>110</v>
      </c>
      <c r="D13" s="1" t="s">
        <v>185</v>
      </c>
      <c r="E13" s="1" t="s">
        <v>176</v>
      </c>
      <c r="F13" s="1" t="s">
        <v>177</v>
      </c>
      <c r="G13" s="1" t="s">
        <v>116</v>
      </c>
      <c r="H13" s="1" t="s">
        <v>180</v>
      </c>
      <c r="I13" s="1" t="s">
        <v>187</v>
      </c>
      <c r="J13" s="1" t="s">
        <v>188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E16" s="3">
        <v>1</v>
      </c>
      <c r="F16" s="3">
        <v>1</v>
      </c>
      <c r="G16" s="3">
        <v>1</v>
      </c>
      <c r="H16" s="3">
        <v>1</v>
      </c>
    </row>
    <row r="17" spans="2:10" x14ac:dyDescent="0.25">
      <c r="B17" s="1" t="s">
        <v>184</v>
      </c>
    </row>
    <row r="18" spans="2:10" x14ac:dyDescent="0.25">
      <c r="B18" s="8" t="s">
        <v>186</v>
      </c>
      <c r="C18" s="10">
        <v>4371</v>
      </c>
      <c r="D18" s="10">
        <v>285</v>
      </c>
      <c r="E18" s="11">
        <v>1.4910000000000001</v>
      </c>
      <c r="F18" s="11">
        <v>815</v>
      </c>
      <c r="G18" s="11"/>
      <c r="H18" s="11"/>
      <c r="I18" s="22">
        <v>1</v>
      </c>
      <c r="J18" s="22">
        <v>1</v>
      </c>
    </row>
    <row r="19" spans="2:10" x14ac:dyDescent="0.25">
      <c r="B19" s="8"/>
      <c r="C19" s="10">
        <v>0</v>
      </c>
      <c r="D19" s="10">
        <v>60</v>
      </c>
      <c r="E19" s="11"/>
      <c r="F19" s="11"/>
      <c r="G19" s="11">
        <v>0.86309999999999998</v>
      </c>
      <c r="H19" s="11">
        <v>0.77700000000000002</v>
      </c>
      <c r="I19" s="22"/>
      <c r="J19" s="22"/>
    </row>
    <row r="20" spans="2:10" x14ac:dyDescent="0.25">
      <c r="B20" s="8"/>
      <c r="C20" s="10"/>
      <c r="D20" s="10"/>
      <c r="E20" s="11"/>
      <c r="F20" s="11"/>
      <c r="G20" s="11"/>
      <c r="H20" s="11"/>
      <c r="I20" s="22"/>
      <c r="J20" s="22"/>
    </row>
    <row r="21" spans="2:10" x14ac:dyDescent="0.25">
      <c r="B21" s="8"/>
      <c r="C21" s="10"/>
      <c r="D21" s="10"/>
      <c r="E21" s="11"/>
      <c r="F21" s="11"/>
      <c r="G21" s="11"/>
      <c r="H21" s="11"/>
      <c r="I21" s="22"/>
      <c r="J21" s="22"/>
    </row>
    <row r="22" spans="2:10" x14ac:dyDescent="0.25">
      <c r="B22" s="8"/>
      <c r="C22" s="10"/>
      <c r="D22" s="10"/>
      <c r="E22" s="11"/>
      <c r="F22" s="11"/>
      <c r="G22" s="11"/>
      <c r="H22" s="11"/>
      <c r="I22" s="22"/>
      <c r="J22" s="22"/>
    </row>
    <row r="23" spans="2:10" x14ac:dyDescent="0.25">
      <c r="B23" s="8"/>
      <c r="C23" s="10"/>
      <c r="D23" s="10"/>
      <c r="E23" s="11"/>
      <c r="F23" s="11"/>
      <c r="G23" s="11"/>
      <c r="H23" s="11"/>
      <c r="I23" s="22"/>
      <c r="J23" s="22"/>
    </row>
    <row r="24" spans="2:10" x14ac:dyDescent="0.25">
      <c r="B24" s="8"/>
      <c r="C24" s="10"/>
      <c r="D24" s="10"/>
      <c r="E24" s="11"/>
      <c r="F24" s="11"/>
      <c r="G24" s="11"/>
      <c r="H24" s="11"/>
      <c r="I24" s="22"/>
      <c r="J24" s="22"/>
    </row>
    <row r="25" spans="2:10" x14ac:dyDescent="0.25">
      <c r="B25" s="8"/>
      <c r="C25" s="10"/>
      <c r="D25" s="10"/>
      <c r="E25" s="11"/>
      <c r="F25" s="11"/>
      <c r="G25" s="11"/>
      <c r="H25" s="11"/>
      <c r="I25" s="22"/>
      <c r="J25" s="22"/>
    </row>
    <row r="26" spans="2:10" x14ac:dyDescent="0.25">
      <c r="B26" s="8"/>
      <c r="C26" s="10"/>
      <c r="D26" s="10"/>
      <c r="E26" s="11"/>
      <c r="F26" s="11"/>
      <c r="G26" s="11"/>
      <c r="H26" s="11"/>
      <c r="I26" s="22"/>
      <c r="J26" s="22"/>
    </row>
    <row r="27" spans="2:10" x14ac:dyDescent="0.25">
      <c r="B27" s="8"/>
      <c r="C27" s="10"/>
      <c r="D27" s="10"/>
      <c r="E27" s="11"/>
      <c r="F27" s="11"/>
      <c r="G27" s="11"/>
      <c r="H27" s="11"/>
      <c r="I27" s="22"/>
      <c r="J27" s="22"/>
    </row>
    <row r="28" spans="2:10" x14ac:dyDescent="0.25">
      <c r="B28" s="8"/>
      <c r="C28" s="10"/>
      <c r="D28" s="10"/>
      <c r="E28" s="11"/>
      <c r="F28" s="11"/>
      <c r="G28" s="11"/>
      <c r="H28" s="11"/>
      <c r="I28" s="22"/>
      <c r="J28" s="22"/>
    </row>
    <row r="29" spans="2:10" x14ac:dyDescent="0.25">
      <c r="B29" s="8"/>
      <c r="C29" s="10"/>
      <c r="D29" s="10"/>
      <c r="E29" s="11"/>
      <c r="F29" s="11"/>
      <c r="G29" s="11"/>
      <c r="H29" s="11"/>
      <c r="I29" s="22"/>
      <c r="J29" s="22"/>
    </row>
    <row r="30" spans="2:10" x14ac:dyDescent="0.25">
      <c r="B30" s="8"/>
      <c r="C30" s="10"/>
      <c r="D30" s="10"/>
      <c r="E30" s="11"/>
      <c r="F30" s="11"/>
      <c r="G30" s="11"/>
      <c r="H30" s="11"/>
      <c r="I30" s="22"/>
      <c r="J30" s="22"/>
    </row>
    <row r="31" spans="2:10" x14ac:dyDescent="0.25">
      <c r="B31" s="8"/>
      <c r="C31" s="10"/>
      <c r="D31" s="10"/>
      <c r="E31" s="11"/>
      <c r="F31" s="11"/>
      <c r="G31" s="11"/>
      <c r="H31" s="11"/>
      <c r="I31" s="22"/>
      <c r="J31" s="22"/>
    </row>
    <row r="32" spans="2:10" x14ac:dyDescent="0.25">
      <c r="B32" s="8"/>
      <c r="C32" s="10"/>
      <c r="D32" s="10"/>
      <c r="E32" s="11"/>
      <c r="F32" s="11"/>
      <c r="G32" s="11"/>
      <c r="H32" s="11"/>
      <c r="I32" s="22"/>
      <c r="J32" s="22"/>
    </row>
    <row r="33" spans="2:10" x14ac:dyDescent="0.25">
      <c r="B33" s="8"/>
      <c r="C33" s="10"/>
      <c r="D33" s="10"/>
      <c r="E33" s="11"/>
      <c r="F33" s="11"/>
      <c r="G33" s="11"/>
      <c r="H33" s="11"/>
      <c r="I33" s="22"/>
      <c r="J33" s="22"/>
    </row>
    <row r="34" spans="2:10" x14ac:dyDescent="0.25">
      <c r="B34" s="8"/>
      <c r="C34" s="10"/>
      <c r="D34" s="10"/>
      <c r="E34" s="11"/>
      <c r="F34" s="11"/>
      <c r="G34" s="11"/>
      <c r="H34" s="11"/>
      <c r="I34" s="22"/>
      <c r="J34" s="22"/>
    </row>
    <row r="35" spans="2:10" x14ac:dyDescent="0.25">
      <c r="B35" s="8"/>
      <c r="C35" s="10"/>
      <c r="D35" s="10"/>
      <c r="E35" s="11"/>
      <c r="F35" s="11"/>
      <c r="G35" s="11"/>
      <c r="H35" s="11"/>
      <c r="I35" s="22"/>
      <c r="J35" s="22"/>
    </row>
    <row r="36" spans="2:10" x14ac:dyDescent="0.25">
      <c r="B36" s="8"/>
      <c r="C36" s="10"/>
      <c r="D36" s="10"/>
      <c r="E36" s="11"/>
      <c r="F36" s="11"/>
      <c r="G36" s="11"/>
      <c r="H36" s="11"/>
      <c r="I36" s="22"/>
      <c r="J36" s="22"/>
    </row>
    <row r="37" spans="2:10" x14ac:dyDescent="0.25">
      <c r="B37" s="8"/>
      <c r="C37" s="10"/>
      <c r="D37" s="10"/>
      <c r="E37" s="11"/>
      <c r="F37" s="11"/>
      <c r="G37" s="11"/>
      <c r="H37" s="11"/>
      <c r="I37" s="22"/>
      <c r="J37" s="22"/>
    </row>
    <row r="38" spans="2:10" x14ac:dyDescent="0.25">
      <c r="B38" s="8"/>
      <c r="C38" s="10"/>
      <c r="D38" s="10"/>
      <c r="E38" s="11"/>
      <c r="F38" s="11"/>
      <c r="G38" s="11"/>
      <c r="H38" s="11"/>
      <c r="I38" s="22"/>
      <c r="J38" s="22"/>
    </row>
    <row r="39" spans="2:10" x14ac:dyDescent="0.25">
      <c r="B39" s="8"/>
      <c r="C39" s="10"/>
      <c r="D39" s="10"/>
      <c r="E39" s="11"/>
      <c r="F39" s="11"/>
      <c r="G39" s="11"/>
      <c r="H39" s="11"/>
      <c r="I39" s="22"/>
      <c r="J39" s="22"/>
    </row>
    <row r="40" spans="2:10" x14ac:dyDescent="0.25">
      <c r="B40" s="8"/>
      <c r="C40" s="10"/>
      <c r="D40" s="10"/>
      <c r="E40" s="11"/>
      <c r="F40" s="11"/>
      <c r="G40" s="11"/>
      <c r="H40" s="11"/>
      <c r="I40" s="22"/>
      <c r="J40" s="22"/>
    </row>
    <row r="41" spans="2:10" x14ac:dyDescent="0.25">
      <c r="B41" s="8"/>
      <c r="C41" s="10"/>
      <c r="D41" s="10"/>
      <c r="E41" s="11"/>
      <c r="F41" s="11"/>
      <c r="G41" s="11"/>
      <c r="H41" s="11"/>
      <c r="I41" s="22"/>
      <c r="J41" s="22"/>
    </row>
    <row r="42" spans="2:10" x14ac:dyDescent="0.25">
      <c r="B42" s="8"/>
      <c r="C42" s="10"/>
      <c r="D42" s="10"/>
      <c r="E42" s="11"/>
      <c r="F42" s="11"/>
      <c r="G42" s="11"/>
      <c r="H42" s="11"/>
      <c r="I42" s="22"/>
      <c r="J42" s="22"/>
    </row>
    <row r="43" spans="2:10" x14ac:dyDescent="0.25">
      <c r="B43" s="8"/>
      <c r="C43" s="10"/>
      <c r="D43" s="10"/>
      <c r="E43" s="11"/>
      <c r="F43" s="11"/>
      <c r="G43" s="11"/>
      <c r="H43" s="11"/>
      <c r="I43" s="22"/>
      <c r="J43" s="22"/>
    </row>
    <row r="44" spans="2:10" x14ac:dyDescent="0.25">
      <c r="B44" s="8"/>
      <c r="C44" s="10"/>
      <c r="D44" s="10"/>
      <c r="E44" s="11"/>
      <c r="F44" s="11"/>
      <c r="G44" s="11"/>
      <c r="H44" s="11"/>
      <c r="I44" s="22"/>
      <c r="J44" s="22"/>
    </row>
    <row r="45" spans="2:10" x14ac:dyDescent="0.25">
      <c r="B45" s="8"/>
      <c r="C45" s="10"/>
      <c r="D45" s="10"/>
      <c r="E45" s="11"/>
      <c r="F45" s="11"/>
      <c r="G45" s="11"/>
      <c r="H45" s="11"/>
      <c r="I45" s="22"/>
      <c r="J45" s="22"/>
    </row>
    <row r="46" spans="2:10" x14ac:dyDescent="0.25">
      <c r="B46" s="8"/>
      <c r="C46" s="10"/>
      <c r="D46" s="10"/>
      <c r="E46" s="11"/>
      <c r="F46" s="11"/>
      <c r="G46" s="11"/>
      <c r="H46" s="11"/>
      <c r="I46" s="22"/>
      <c r="J46" s="22"/>
    </row>
    <row r="47" spans="2:10" x14ac:dyDescent="0.25">
      <c r="B47" s="8"/>
      <c r="C47" s="10"/>
      <c r="D47" s="10"/>
      <c r="E47" s="11"/>
      <c r="F47" s="11"/>
      <c r="G47" s="11"/>
      <c r="H47" s="11"/>
      <c r="I47" s="22"/>
      <c r="J47" s="22"/>
    </row>
    <row r="48" spans="2:10" x14ac:dyDescent="0.25">
      <c r="B48" s="8"/>
      <c r="C48" s="10"/>
      <c r="D48" s="10"/>
      <c r="E48" s="11"/>
      <c r="F48" s="11"/>
      <c r="G48" s="11"/>
      <c r="H48" s="11"/>
      <c r="I48" s="22"/>
      <c r="J48" s="22"/>
    </row>
    <row r="49" spans="2:10" x14ac:dyDescent="0.25">
      <c r="B49" s="8"/>
      <c r="C49" s="10"/>
      <c r="D49" s="10"/>
      <c r="E49" s="11"/>
      <c r="F49" s="11"/>
      <c r="G49" s="11"/>
      <c r="H49" s="11"/>
      <c r="I49" s="22"/>
      <c r="J49" s="22"/>
    </row>
    <row r="50" spans="2:10" x14ac:dyDescent="0.25">
      <c r="B50" s="8"/>
      <c r="C50" s="10"/>
      <c r="D50" s="10"/>
      <c r="E50" s="11"/>
      <c r="F50" s="11"/>
      <c r="G50" s="11"/>
      <c r="H50" s="11"/>
      <c r="I50" s="22"/>
      <c r="J50" s="22"/>
    </row>
    <row r="51" spans="2:10" x14ac:dyDescent="0.25">
      <c r="B51" s="8"/>
      <c r="C51" s="10"/>
      <c r="D51" s="10"/>
      <c r="E51" s="11"/>
      <c r="F51" s="11"/>
      <c r="G51" s="11"/>
      <c r="H51" s="11"/>
      <c r="I51" s="22"/>
      <c r="J51" s="22"/>
    </row>
    <row r="52" spans="2:10" x14ac:dyDescent="0.25">
      <c r="B52" s="8"/>
      <c r="C52" s="10"/>
      <c r="D52" s="10"/>
      <c r="E52" s="11"/>
      <c r="F52" s="11"/>
      <c r="G52" s="11"/>
      <c r="H52" s="11"/>
      <c r="I52" s="22"/>
      <c r="J52" s="22"/>
    </row>
    <row r="53" spans="2:10" x14ac:dyDescent="0.25">
      <c r="B53" s="8"/>
      <c r="C53" s="10"/>
      <c r="D53" s="10"/>
      <c r="E53" s="11"/>
      <c r="F53" s="11"/>
      <c r="G53" s="11"/>
      <c r="H53" s="11"/>
      <c r="I53" s="22"/>
      <c r="J53" s="22"/>
    </row>
    <row r="54" spans="2:10" x14ac:dyDescent="0.25">
      <c r="B54" s="8"/>
      <c r="C54" s="10"/>
      <c r="D54" s="10"/>
      <c r="E54" s="11"/>
      <c r="F54" s="11"/>
      <c r="G54" s="11"/>
      <c r="H54" s="11"/>
      <c r="I54" s="22"/>
      <c r="J54" s="22"/>
    </row>
    <row r="55" spans="2:10" x14ac:dyDescent="0.25">
      <c r="B55" s="8"/>
      <c r="C55" s="10"/>
      <c r="D55" s="10"/>
      <c r="E55" s="11"/>
      <c r="F55" s="11"/>
      <c r="G55" s="11"/>
      <c r="H55" s="11"/>
      <c r="I55" s="22"/>
      <c r="J55" s="22"/>
    </row>
    <row r="56" spans="2:10" x14ac:dyDescent="0.25">
      <c r="B56" s="8"/>
      <c r="C56" s="10"/>
      <c r="D56" s="10"/>
      <c r="E56" s="11"/>
      <c r="F56" s="11"/>
      <c r="G56" s="11"/>
      <c r="H56" s="11"/>
      <c r="I56" s="22"/>
      <c r="J56" s="22"/>
    </row>
    <row r="57" spans="2:10" x14ac:dyDescent="0.25">
      <c r="B57" s="8"/>
      <c r="C57" s="10"/>
      <c r="D57" s="10"/>
      <c r="E57" s="11"/>
      <c r="F57" s="11"/>
      <c r="G57" s="11"/>
      <c r="H57" s="11"/>
      <c r="I57" s="22"/>
      <c r="J57" s="22"/>
    </row>
    <row r="58" spans="2:10" x14ac:dyDescent="0.25">
      <c r="B58" s="8"/>
      <c r="C58" s="10"/>
      <c r="D58" s="10"/>
      <c r="E58" s="11"/>
      <c r="F58" s="11"/>
      <c r="G58" s="11"/>
      <c r="H58" s="11"/>
      <c r="I58" s="22"/>
      <c r="J58" s="22"/>
    </row>
    <row r="59" spans="2:10" x14ac:dyDescent="0.25">
      <c r="B59" s="8"/>
      <c r="C59" s="10"/>
      <c r="D59" s="10"/>
      <c r="E59" s="11"/>
      <c r="F59" s="11"/>
      <c r="G59" s="11"/>
      <c r="H59" s="11"/>
      <c r="I59" s="22"/>
      <c r="J59" s="22"/>
    </row>
    <row r="60" spans="2:10" x14ac:dyDescent="0.25">
      <c r="B60" s="8"/>
      <c r="C60" s="10"/>
      <c r="D60" s="10"/>
      <c r="E60" s="11"/>
      <c r="F60" s="11"/>
      <c r="G60" s="11"/>
      <c r="H60" s="11"/>
      <c r="I60" s="22"/>
      <c r="J60" s="22"/>
    </row>
    <row r="61" spans="2:10" x14ac:dyDescent="0.25">
      <c r="B61" s="8"/>
      <c r="C61" s="10"/>
      <c r="D61" s="10"/>
      <c r="E61" s="11"/>
      <c r="F61" s="11"/>
      <c r="G61" s="11"/>
      <c r="H61" s="11"/>
      <c r="I61" s="22"/>
      <c r="J61" s="22"/>
    </row>
    <row r="62" spans="2:10" x14ac:dyDescent="0.25">
      <c r="B62" s="8"/>
      <c r="C62" s="10"/>
      <c r="D62" s="10"/>
      <c r="E62" s="11"/>
      <c r="F62" s="11"/>
      <c r="G62" s="11"/>
      <c r="H62" s="11"/>
      <c r="I62" s="22"/>
      <c r="J62" s="22"/>
    </row>
    <row r="63" spans="2:10" x14ac:dyDescent="0.25">
      <c r="B63" s="8"/>
      <c r="C63" s="10"/>
      <c r="D63" s="10"/>
      <c r="E63" s="11"/>
      <c r="F63" s="11"/>
      <c r="G63" s="11"/>
      <c r="H63" s="11"/>
      <c r="I63" s="22"/>
      <c r="J63" s="22"/>
    </row>
    <row r="64" spans="2:10" x14ac:dyDescent="0.25">
      <c r="B64" s="8"/>
      <c r="C64" s="10"/>
      <c r="D64" s="10"/>
      <c r="E64" s="11"/>
      <c r="F64" s="11"/>
      <c r="G64" s="11"/>
      <c r="H64" s="11"/>
      <c r="I64" s="22"/>
      <c r="J64" s="22"/>
    </row>
    <row r="65" spans="2:10" x14ac:dyDescent="0.25">
      <c r="B65" s="8"/>
      <c r="C65" s="10"/>
      <c r="D65" s="10"/>
      <c r="E65" s="11"/>
      <c r="F65" s="11"/>
      <c r="G65" s="11"/>
      <c r="H65" s="11"/>
      <c r="I65" s="22"/>
      <c r="J65" s="22"/>
    </row>
    <row r="66" spans="2:10" x14ac:dyDescent="0.25">
      <c r="B66" s="8"/>
      <c r="C66" s="10"/>
      <c r="D66" s="10"/>
      <c r="E66" s="11"/>
      <c r="F66" s="11"/>
      <c r="G66" s="11"/>
      <c r="H66" s="11"/>
      <c r="I66" s="22"/>
      <c r="J66" s="22"/>
    </row>
    <row r="67" spans="2:10" x14ac:dyDescent="0.25">
      <c r="B67" s="8"/>
      <c r="C67" s="10"/>
      <c r="D67" s="10"/>
      <c r="E67" s="11"/>
      <c r="F67" s="11"/>
      <c r="G67" s="11"/>
      <c r="H67" s="11"/>
      <c r="I67" s="22"/>
      <c r="J67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4" name="ddInd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3" r:id="rId5" name="ddCuni1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4" r:id="rId6" name="ddCyn1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5" r:id="rId7" name="ddCuni2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6" r:id="rId8" name="ddCyn2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7" r:id="rId9" name="ddCuni3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8" r:id="rId10" name="ddCyn3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9" r:id="rId11" name="ddCuni4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0" r:id="rId12" name="ddCyn4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DD16D-88AD-4E09-950C-86319A6A06D0}">
  <sheetPr codeName="Sheet9"/>
  <dimension ref="B2:K67"/>
  <sheetViews>
    <sheetView workbookViewId="0">
      <selection activeCell="H19" sqref="H19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181</v>
      </c>
      <c r="G5" s="1" t="s">
        <v>183</v>
      </c>
      <c r="K5" s="1" t="s">
        <v>118</v>
      </c>
    </row>
    <row r="7" spans="2:11" x14ac:dyDescent="0.25">
      <c r="B7" s="1" t="s">
        <v>5</v>
      </c>
      <c r="E7" s="8" t="s">
        <v>137</v>
      </c>
    </row>
    <row r="13" spans="2:11" x14ac:dyDescent="0.25">
      <c r="C13" s="1" t="s">
        <v>110</v>
      </c>
      <c r="D13" s="1" t="s">
        <v>185</v>
      </c>
      <c r="E13" s="1" t="s">
        <v>176</v>
      </c>
      <c r="F13" s="1" t="s">
        <v>177</v>
      </c>
      <c r="G13" s="1" t="s">
        <v>116</v>
      </c>
      <c r="H13" s="1" t="s">
        <v>180</v>
      </c>
      <c r="I13" s="1" t="s">
        <v>187</v>
      </c>
      <c r="J13" s="1" t="s">
        <v>188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E16" s="3">
        <v>1</v>
      </c>
      <c r="F16" s="3">
        <v>1</v>
      </c>
      <c r="G16" s="3">
        <v>1</v>
      </c>
      <c r="H16" s="3">
        <v>1</v>
      </c>
    </row>
    <row r="17" spans="2:10" x14ac:dyDescent="0.25">
      <c r="B17" s="1" t="s">
        <v>184</v>
      </c>
    </row>
    <row r="18" spans="2:10" x14ac:dyDescent="0.25">
      <c r="B18" s="8" t="s">
        <v>186</v>
      </c>
      <c r="C18" s="10">
        <v>4371</v>
      </c>
      <c r="D18" s="10">
        <v>285</v>
      </c>
      <c r="E18" s="11">
        <v>1.4770000000000001</v>
      </c>
      <c r="F18" s="11">
        <v>806</v>
      </c>
      <c r="G18" s="11">
        <v>0.66520000000000001</v>
      </c>
      <c r="H18" s="11"/>
      <c r="I18" s="22">
        <v>1</v>
      </c>
      <c r="J18" s="22">
        <v>1</v>
      </c>
    </row>
    <row r="19" spans="2:10" x14ac:dyDescent="0.25">
      <c r="B19" s="8"/>
      <c r="C19" s="10">
        <v>600</v>
      </c>
      <c r="D19" s="10">
        <v>104</v>
      </c>
      <c r="E19" s="11">
        <v>1.0940000000000001</v>
      </c>
      <c r="F19" s="11">
        <v>634</v>
      </c>
      <c r="G19" s="11">
        <v>0.82069999999999999</v>
      </c>
      <c r="H19" s="12">
        <v>0.66</v>
      </c>
      <c r="I19" s="22"/>
      <c r="J19" s="22"/>
    </row>
    <row r="20" spans="2:10" x14ac:dyDescent="0.25">
      <c r="B20" s="8"/>
      <c r="C20" s="10">
        <v>0</v>
      </c>
      <c r="D20" s="10">
        <v>60</v>
      </c>
      <c r="E20" s="11"/>
      <c r="F20" s="11">
        <v>171</v>
      </c>
      <c r="G20" s="11">
        <v>0.86019999999999996</v>
      </c>
      <c r="H20" s="11">
        <v>1.008</v>
      </c>
      <c r="I20" s="22"/>
      <c r="J20" s="22"/>
    </row>
    <row r="21" spans="2:10" x14ac:dyDescent="0.25">
      <c r="B21" s="8"/>
      <c r="C21" s="10"/>
      <c r="D21" s="10"/>
      <c r="E21" s="11"/>
      <c r="F21" s="11"/>
      <c r="G21" s="11"/>
      <c r="H21" s="11"/>
      <c r="I21" s="22"/>
      <c r="J21" s="22"/>
    </row>
    <row r="22" spans="2:10" x14ac:dyDescent="0.25">
      <c r="B22" s="8"/>
      <c r="C22" s="10"/>
      <c r="D22" s="10"/>
      <c r="E22" s="11"/>
      <c r="F22" s="11"/>
      <c r="G22" s="11"/>
      <c r="H22" s="11"/>
      <c r="I22" s="22"/>
      <c r="J22" s="22"/>
    </row>
    <row r="23" spans="2:10" x14ac:dyDescent="0.25">
      <c r="B23" s="8"/>
      <c r="C23" s="10"/>
      <c r="D23" s="10"/>
      <c r="E23" s="11"/>
      <c r="F23" s="11"/>
      <c r="G23" s="11"/>
      <c r="H23" s="11"/>
      <c r="I23" s="22"/>
      <c r="J23" s="22"/>
    </row>
    <row r="24" spans="2:10" x14ac:dyDescent="0.25">
      <c r="B24" s="8"/>
      <c r="C24" s="10"/>
      <c r="D24" s="10"/>
      <c r="E24" s="11"/>
      <c r="F24" s="11"/>
      <c r="G24" s="11"/>
      <c r="H24" s="11"/>
      <c r="I24" s="22"/>
      <c r="J24" s="22"/>
    </row>
    <row r="25" spans="2:10" x14ac:dyDescent="0.25">
      <c r="B25" s="8"/>
      <c r="C25" s="10"/>
      <c r="D25" s="10"/>
      <c r="E25" s="11"/>
      <c r="F25" s="11"/>
      <c r="G25" s="11"/>
      <c r="H25" s="11"/>
      <c r="I25" s="22"/>
      <c r="J25" s="22"/>
    </row>
    <row r="26" spans="2:10" x14ac:dyDescent="0.25">
      <c r="B26" s="8"/>
      <c r="C26" s="10"/>
      <c r="D26" s="10"/>
      <c r="E26" s="11"/>
      <c r="F26" s="11"/>
      <c r="G26" s="11"/>
      <c r="H26" s="11"/>
      <c r="I26" s="22"/>
      <c r="J26" s="22"/>
    </row>
    <row r="27" spans="2:10" x14ac:dyDescent="0.25">
      <c r="B27" s="8"/>
      <c r="C27" s="10"/>
      <c r="D27" s="10"/>
      <c r="E27" s="11"/>
      <c r="F27" s="11"/>
      <c r="G27" s="11"/>
      <c r="H27" s="11"/>
      <c r="I27" s="22"/>
      <c r="J27" s="22"/>
    </row>
    <row r="28" spans="2:10" x14ac:dyDescent="0.25">
      <c r="B28" s="8"/>
      <c r="C28" s="10"/>
      <c r="D28" s="10"/>
      <c r="E28" s="11"/>
      <c r="F28" s="11"/>
      <c r="G28" s="11"/>
      <c r="H28" s="11"/>
      <c r="I28" s="22"/>
      <c r="J28" s="22"/>
    </row>
    <row r="29" spans="2:10" x14ac:dyDescent="0.25">
      <c r="B29" s="8"/>
      <c r="C29" s="10"/>
      <c r="D29" s="10"/>
      <c r="E29" s="11"/>
      <c r="F29" s="11"/>
      <c r="G29" s="11"/>
      <c r="H29" s="11"/>
      <c r="I29" s="22"/>
      <c r="J29" s="22"/>
    </row>
    <row r="30" spans="2:10" x14ac:dyDescent="0.25">
      <c r="B30" s="8"/>
      <c r="C30" s="10"/>
      <c r="D30" s="10"/>
      <c r="E30" s="11"/>
      <c r="F30" s="11"/>
      <c r="G30" s="11"/>
      <c r="H30" s="11"/>
      <c r="I30" s="22"/>
      <c r="J30" s="22"/>
    </row>
    <row r="31" spans="2:10" x14ac:dyDescent="0.25">
      <c r="B31" s="8"/>
      <c r="C31" s="10"/>
      <c r="D31" s="10"/>
      <c r="E31" s="11"/>
      <c r="F31" s="11"/>
      <c r="G31" s="11"/>
      <c r="H31" s="11"/>
      <c r="I31" s="22"/>
      <c r="J31" s="22"/>
    </row>
    <row r="32" spans="2:10" x14ac:dyDescent="0.25">
      <c r="B32" s="8"/>
      <c r="C32" s="10"/>
      <c r="D32" s="10"/>
      <c r="E32" s="11"/>
      <c r="F32" s="11"/>
      <c r="G32" s="11"/>
      <c r="H32" s="11"/>
      <c r="I32" s="22"/>
      <c r="J32" s="22"/>
    </row>
    <row r="33" spans="2:10" x14ac:dyDescent="0.25">
      <c r="B33" s="8"/>
      <c r="C33" s="10"/>
      <c r="D33" s="10"/>
      <c r="E33" s="11"/>
      <c r="F33" s="11"/>
      <c r="G33" s="11"/>
      <c r="H33" s="11"/>
      <c r="I33" s="22"/>
      <c r="J33" s="22"/>
    </row>
    <row r="34" spans="2:10" x14ac:dyDescent="0.25">
      <c r="B34" s="8"/>
      <c r="C34" s="10"/>
      <c r="D34" s="10"/>
      <c r="E34" s="11"/>
      <c r="F34" s="11"/>
      <c r="G34" s="11"/>
      <c r="H34" s="11"/>
      <c r="I34" s="22"/>
      <c r="J34" s="22"/>
    </row>
    <row r="35" spans="2:10" x14ac:dyDescent="0.25">
      <c r="B35" s="8"/>
      <c r="C35" s="10"/>
      <c r="D35" s="10"/>
      <c r="E35" s="11"/>
      <c r="F35" s="11"/>
      <c r="G35" s="11"/>
      <c r="H35" s="11"/>
      <c r="I35" s="22"/>
      <c r="J35" s="22"/>
    </row>
    <row r="36" spans="2:10" x14ac:dyDescent="0.25">
      <c r="B36" s="8"/>
      <c r="C36" s="10"/>
      <c r="D36" s="10"/>
      <c r="E36" s="11"/>
      <c r="F36" s="11"/>
      <c r="G36" s="11"/>
      <c r="H36" s="11"/>
      <c r="I36" s="22"/>
      <c r="J36" s="22"/>
    </row>
    <row r="37" spans="2:10" x14ac:dyDescent="0.25">
      <c r="B37" s="8"/>
      <c r="C37" s="10"/>
      <c r="D37" s="10"/>
      <c r="E37" s="11"/>
      <c r="F37" s="11"/>
      <c r="G37" s="11"/>
      <c r="H37" s="11"/>
      <c r="I37" s="22"/>
      <c r="J37" s="22"/>
    </row>
    <row r="38" spans="2:10" x14ac:dyDescent="0.25">
      <c r="B38" s="8"/>
      <c r="C38" s="10"/>
      <c r="D38" s="10"/>
      <c r="E38" s="11"/>
      <c r="F38" s="11"/>
      <c r="G38" s="11"/>
      <c r="H38" s="11"/>
      <c r="I38" s="22"/>
      <c r="J38" s="22"/>
    </row>
    <row r="39" spans="2:10" x14ac:dyDescent="0.25">
      <c r="B39" s="8"/>
      <c r="C39" s="10"/>
      <c r="D39" s="10"/>
      <c r="E39" s="11"/>
      <c r="F39" s="11"/>
      <c r="G39" s="11"/>
      <c r="H39" s="11"/>
      <c r="I39" s="22"/>
      <c r="J39" s="22"/>
    </row>
    <row r="40" spans="2:10" x14ac:dyDescent="0.25">
      <c r="B40" s="8"/>
      <c r="C40" s="10"/>
      <c r="D40" s="10"/>
      <c r="E40" s="11"/>
      <c r="F40" s="11"/>
      <c r="G40" s="11"/>
      <c r="H40" s="11"/>
      <c r="I40" s="22"/>
      <c r="J40" s="22"/>
    </row>
    <row r="41" spans="2:10" x14ac:dyDescent="0.25">
      <c r="B41" s="8"/>
      <c r="C41" s="10"/>
      <c r="D41" s="10"/>
      <c r="E41" s="11"/>
      <c r="F41" s="11"/>
      <c r="G41" s="11"/>
      <c r="H41" s="11"/>
      <c r="I41" s="22"/>
      <c r="J41" s="22"/>
    </row>
    <row r="42" spans="2:10" x14ac:dyDescent="0.25">
      <c r="B42" s="8"/>
      <c r="C42" s="10"/>
      <c r="D42" s="10"/>
      <c r="E42" s="11"/>
      <c r="F42" s="11"/>
      <c r="G42" s="11"/>
      <c r="H42" s="11"/>
      <c r="I42" s="22"/>
      <c r="J42" s="22"/>
    </row>
    <row r="43" spans="2:10" x14ac:dyDescent="0.25">
      <c r="B43" s="8"/>
      <c r="C43" s="10"/>
      <c r="D43" s="10"/>
      <c r="E43" s="11"/>
      <c r="F43" s="11"/>
      <c r="G43" s="11"/>
      <c r="H43" s="11"/>
      <c r="I43" s="22"/>
      <c r="J43" s="22"/>
    </row>
    <row r="44" spans="2:10" x14ac:dyDescent="0.25">
      <c r="B44" s="8"/>
      <c r="C44" s="10"/>
      <c r="D44" s="10"/>
      <c r="E44" s="11"/>
      <c r="F44" s="11"/>
      <c r="G44" s="11"/>
      <c r="H44" s="11"/>
      <c r="I44" s="22"/>
      <c r="J44" s="22"/>
    </row>
    <row r="45" spans="2:10" x14ac:dyDescent="0.25">
      <c r="B45" s="8"/>
      <c r="C45" s="10"/>
      <c r="D45" s="10"/>
      <c r="E45" s="11"/>
      <c r="F45" s="11"/>
      <c r="G45" s="11"/>
      <c r="H45" s="11"/>
      <c r="I45" s="22"/>
      <c r="J45" s="22"/>
    </row>
    <row r="46" spans="2:10" x14ac:dyDescent="0.25">
      <c r="B46" s="8"/>
      <c r="C46" s="10"/>
      <c r="D46" s="10"/>
      <c r="E46" s="11"/>
      <c r="F46" s="11"/>
      <c r="G46" s="11"/>
      <c r="H46" s="11"/>
      <c r="I46" s="22"/>
      <c r="J46" s="22"/>
    </row>
    <row r="47" spans="2:10" x14ac:dyDescent="0.25">
      <c r="B47" s="8"/>
      <c r="C47" s="10"/>
      <c r="D47" s="10"/>
      <c r="E47" s="11"/>
      <c r="F47" s="11"/>
      <c r="G47" s="11"/>
      <c r="H47" s="11"/>
      <c r="I47" s="22"/>
      <c r="J47" s="22"/>
    </row>
    <row r="48" spans="2:10" x14ac:dyDescent="0.25">
      <c r="B48" s="8"/>
      <c r="C48" s="10"/>
      <c r="D48" s="10"/>
      <c r="E48" s="11"/>
      <c r="F48" s="11"/>
      <c r="G48" s="11"/>
      <c r="H48" s="11"/>
      <c r="I48" s="22"/>
      <c r="J48" s="22"/>
    </row>
    <row r="49" spans="2:10" x14ac:dyDescent="0.25">
      <c r="B49" s="8"/>
      <c r="C49" s="10"/>
      <c r="D49" s="10"/>
      <c r="E49" s="11"/>
      <c r="F49" s="11"/>
      <c r="G49" s="11"/>
      <c r="H49" s="11"/>
      <c r="I49" s="22"/>
      <c r="J49" s="22"/>
    </row>
    <row r="50" spans="2:10" x14ac:dyDescent="0.25">
      <c r="B50" s="8"/>
      <c r="C50" s="10"/>
      <c r="D50" s="10"/>
      <c r="E50" s="11"/>
      <c r="F50" s="11"/>
      <c r="G50" s="11"/>
      <c r="H50" s="11"/>
      <c r="I50" s="22"/>
      <c r="J50" s="22"/>
    </row>
    <row r="51" spans="2:10" x14ac:dyDescent="0.25">
      <c r="B51" s="8"/>
      <c r="C51" s="10"/>
      <c r="D51" s="10"/>
      <c r="E51" s="11"/>
      <c r="F51" s="11"/>
      <c r="G51" s="11"/>
      <c r="H51" s="11"/>
      <c r="I51" s="22"/>
      <c r="J51" s="22"/>
    </row>
    <row r="52" spans="2:10" x14ac:dyDescent="0.25">
      <c r="B52" s="8"/>
      <c r="C52" s="10"/>
      <c r="D52" s="10"/>
      <c r="E52" s="11"/>
      <c r="F52" s="11"/>
      <c r="G52" s="11"/>
      <c r="H52" s="11"/>
      <c r="I52" s="22"/>
      <c r="J52" s="22"/>
    </row>
    <row r="53" spans="2:10" x14ac:dyDescent="0.25">
      <c r="B53" s="8"/>
      <c r="C53" s="10"/>
      <c r="D53" s="10"/>
      <c r="E53" s="11"/>
      <c r="F53" s="11"/>
      <c r="G53" s="11"/>
      <c r="H53" s="11"/>
      <c r="I53" s="22"/>
      <c r="J53" s="22"/>
    </row>
    <row r="54" spans="2:10" x14ac:dyDescent="0.25">
      <c r="B54" s="8"/>
      <c r="C54" s="10"/>
      <c r="D54" s="10"/>
      <c r="E54" s="11"/>
      <c r="F54" s="11"/>
      <c r="G54" s="11"/>
      <c r="H54" s="11"/>
      <c r="I54" s="22"/>
      <c r="J54" s="22"/>
    </row>
    <row r="55" spans="2:10" x14ac:dyDescent="0.25">
      <c r="B55" s="8"/>
      <c r="C55" s="10"/>
      <c r="D55" s="10"/>
      <c r="E55" s="11"/>
      <c r="F55" s="11"/>
      <c r="G55" s="11"/>
      <c r="H55" s="11"/>
      <c r="I55" s="22"/>
      <c r="J55" s="22"/>
    </row>
    <row r="56" spans="2:10" x14ac:dyDescent="0.25">
      <c r="B56" s="8"/>
      <c r="C56" s="10"/>
      <c r="D56" s="10"/>
      <c r="E56" s="11"/>
      <c r="F56" s="11"/>
      <c r="G56" s="11"/>
      <c r="H56" s="11"/>
      <c r="I56" s="22"/>
      <c r="J56" s="22"/>
    </row>
    <row r="57" spans="2:10" x14ac:dyDescent="0.25">
      <c r="B57" s="8"/>
      <c r="C57" s="10"/>
      <c r="D57" s="10"/>
      <c r="E57" s="11"/>
      <c r="F57" s="11"/>
      <c r="G57" s="11"/>
      <c r="H57" s="11"/>
      <c r="I57" s="22"/>
      <c r="J57" s="22"/>
    </row>
    <row r="58" spans="2:10" x14ac:dyDescent="0.25">
      <c r="B58" s="8"/>
      <c r="C58" s="10"/>
      <c r="D58" s="10"/>
      <c r="E58" s="11"/>
      <c r="F58" s="11"/>
      <c r="G58" s="11"/>
      <c r="H58" s="11"/>
      <c r="I58" s="22"/>
      <c r="J58" s="22"/>
    </row>
    <row r="59" spans="2:10" x14ac:dyDescent="0.25">
      <c r="B59" s="8"/>
      <c r="C59" s="10"/>
      <c r="D59" s="10"/>
      <c r="E59" s="11"/>
      <c r="F59" s="11"/>
      <c r="G59" s="11"/>
      <c r="H59" s="11"/>
      <c r="I59" s="22"/>
      <c r="J59" s="22"/>
    </row>
    <row r="60" spans="2:10" x14ac:dyDescent="0.25">
      <c r="B60" s="8"/>
      <c r="C60" s="10"/>
      <c r="D60" s="10"/>
      <c r="E60" s="11"/>
      <c r="F60" s="11"/>
      <c r="G60" s="11"/>
      <c r="H60" s="11"/>
      <c r="I60" s="22"/>
      <c r="J60" s="22"/>
    </row>
    <row r="61" spans="2:10" x14ac:dyDescent="0.25">
      <c r="B61" s="8"/>
      <c r="C61" s="10"/>
      <c r="D61" s="10"/>
      <c r="E61" s="11"/>
      <c r="F61" s="11"/>
      <c r="G61" s="11"/>
      <c r="H61" s="11"/>
      <c r="I61" s="22"/>
      <c r="J61" s="22"/>
    </row>
    <row r="62" spans="2:10" x14ac:dyDescent="0.25">
      <c r="B62" s="8"/>
      <c r="C62" s="10"/>
      <c r="D62" s="10"/>
      <c r="E62" s="11"/>
      <c r="F62" s="11"/>
      <c r="G62" s="11"/>
      <c r="H62" s="11"/>
      <c r="I62" s="22"/>
      <c r="J62" s="22"/>
    </row>
    <row r="63" spans="2:10" x14ac:dyDescent="0.25">
      <c r="B63" s="8"/>
      <c r="C63" s="10"/>
      <c r="D63" s="10"/>
      <c r="E63" s="11"/>
      <c r="F63" s="11"/>
      <c r="G63" s="11"/>
      <c r="H63" s="11"/>
      <c r="I63" s="22"/>
      <c r="J63" s="22"/>
    </row>
    <row r="64" spans="2:10" x14ac:dyDescent="0.25">
      <c r="B64" s="8"/>
      <c r="C64" s="10"/>
      <c r="D64" s="10"/>
      <c r="E64" s="11"/>
      <c r="F64" s="11"/>
      <c r="G64" s="11"/>
      <c r="H64" s="11"/>
      <c r="I64" s="22"/>
      <c r="J64" s="22"/>
    </row>
    <row r="65" spans="2:10" x14ac:dyDescent="0.25">
      <c r="B65" s="8"/>
      <c r="C65" s="10"/>
      <c r="D65" s="10"/>
      <c r="E65" s="11"/>
      <c r="F65" s="11"/>
      <c r="G65" s="11"/>
      <c r="H65" s="11"/>
      <c r="I65" s="22"/>
      <c r="J65" s="22"/>
    </row>
    <row r="66" spans="2:10" x14ac:dyDescent="0.25">
      <c r="B66" s="8"/>
      <c r="C66" s="10"/>
      <c r="D66" s="10"/>
      <c r="E66" s="11"/>
      <c r="F66" s="11"/>
      <c r="G66" s="11"/>
      <c r="H66" s="11"/>
      <c r="I66" s="22"/>
      <c r="J66" s="22"/>
    </row>
    <row r="67" spans="2:10" x14ac:dyDescent="0.25">
      <c r="B67" s="8"/>
      <c r="C67" s="10"/>
      <c r="D67" s="10"/>
      <c r="E67" s="11"/>
      <c r="F67" s="11"/>
      <c r="G67" s="11"/>
      <c r="H67" s="11"/>
      <c r="I67" s="22"/>
      <c r="J67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3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6" r:id="rId4" name="ddInd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7" r:id="rId5" name="ddCuni1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8" r:id="rId6" name="ddCyn1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9" r:id="rId7" name="ddCuni2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0" r:id="rId8" name="ddCyn2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1" r:id="rId9" name="ddCuni3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2" r:id="rId10" name="ddCyn3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3" r:id="rId11" name="ddCuni4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4" r:id="rId12" name="ddCyn4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1DC99-8B0F-4A7E-AB7A-036A2FBA0481}">
  <sheetPr codeName="Sheet10"/>
  <dimension ref="B2:K67"/>
  <sheetViews>
    <sheetView workbookViewId="0">
      <selection activeCell="K18" sqref="K18:K37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173</v>
      </c>
      <c r="G5" s="1" t="s">
        <v>175</v>
      </c>
      <c r="K5" s="1" t="s">
        <v>118</v>
      </c>
    </row>
    <row r="7" spans="2:11" x14ac:dyDescent="0.25">
      <c r="B7" s="1" t="s">
        <v>5</v>
      </c>
      <c r="E7" s="8" t="s">
        <v>137</v>
      </c>
    </row>
    <row r="9" spans="2:11" x14ac:dyDescent="0.25">
      <c r="B9" s="1" t="s">
        <v>109</v>
      </c>
      <c r="E9" s="3">
        <v>285</v>
      </c>
    </row>
    <row r="13" spans="2:11" x14ac:dyDescent="0.25">
      <c r="C13" s="1" t="s">
        <v>110</v>
      </c>
      <c r="D13" s="1" t="s">
        <v>176</v>
      </c>
      <c r="E13" s="1" t="s">
        <v>177</v>
      </c>
      <c r="F13" s="1" t="s">
        <v>116</v>
      </c>
      <c r="G13" s="1" t="s">
        <v>178</v>
      </c>
      <c r="H13" s="1" t="s">
        <v>179</v>
      </c>
      <c r="I13" s="1" t="s">
        <v>115</v>
      </c>
      <c r="J13" s="1" t="s">
        <v>180</v>
      </c>
      <c r="K13" s="1" t="s">
        <v>123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</row>
    <row r="17" spans="2:11" x14ac:dyDescent="0.25">
      <c r="B17" s="1" t="s">
        <v>119</v>
      </c>
    </row>
    <row r="18" spans="2:11" x14ac:dyDescent="0.25">
      <c r="B18" s="8"/>
      <c r="C18" s="10">
        <v>7500</v>
      </c>
      <c r="D18" s="11"/>
      <c r="E18" s="11"/>
      <c r="F18" s="11"/>
      <c r="G18" s="11"/>
      <c r="H18" s="11"/>
      <c r="I18" s="11"/>
      <c r="J18" s="11"/>
      <c r="K18" s="12">
        <v>0.498</v>
      </c>
    </row>
    <row r="19" spans="2:11" x14ac:dyDescent="0.25">
      <c r="B19" s="8"/>
      <c r="C19" s="10">
        <v>7000</v>
      </c>
      <c r="D19" s="11"/>
      <c r="E19" s="11"/>
      <c r="F19" s="11"/>
      <c r="G19" s="11"/>
      <c r="H19" s="11"/>
      <c r="I19" s="11"/>
      <c r="J19" s="11"/>
      <c r="K19" s="12">
        <v>0.48099999999999998</v>
      </c>
    </row>
    <row r="20" spans="2:11" x14ac:dyDescent="0.25">
      <c r="B20" s="8"/>
      <c r="C20" s="10">
        <v>6500</v>
      </c>
      <c r="D20" s="11"/>
      <c r="E20" s="11"/>
      <c r="F20" s="11"/>
      <c r="G20" s="11"/>
      <c r="H20" s="11"/>
      <c r="I20" s="11"/>
      <c r="J20" s="11"/>
      <c r="K20" s="12">
        <v>0.46400000000000002</v>
      </c>
    </row>
    <row r="21" spans="2:11" x14ac:dyDescent="0.25">
      <c r="B21" s="8"/>
      <c r="C21" s="10">
        <v>6000</v>
      </c>
      <c r="D21" s="11"/>
      <c r="E21" s="11"/>
      <c r="F21" s="11"/>
      <c r="G21" s="11"/>
      <c r="H21" s="11"/>
      <c r="I21" s="11"/>
      <c r="J21" s="11"/>
      <c r="K21" s="12">
        <v>0.44800000000000001</v>
      </c>
    </row>
    <row r="22" spans="2:11" x14ac:dyDescent="0.25">
      <c r="B22" s="8"/>
      <c r="C22" s="10">
        <v>5723</v>
      </c>
      <c r="D22" s="11"/>
      <c r="E22" s="11"/>
      <c r="F22" s="11"/>
      <c r="G22" s="11"/>
      <c r="H22" s="11"/>
      <c r="I22" s="11"/>
      <c r="J22" s="11"/>
      <c r="K22" s="12">
        <v>0.439</v>
      </c>
    </row>
    <row r="23" spans="2:11" x14ac:dyDescent="0.25">
      <c r="B23" s="8"/>
      <c r="C23" s="10">
        <v>5500</v>
      </c>
      <c r="D23" s="11"/>
      <c r="E23" s="11"/>
      <c r="F23" s="11"/>
      <c r="G23" s="11"/>
      <c r="H23" s="11"/>
      <c r="I23" s="11"/>
      <c r="J23" s="11"/>
      <c r="K23" s="12">
        <v>0.432</v>
      </c>
    </row>
    <row r="24" spans="2:11" x14ac:dyDescent="0.25">
      <c r="B24" s="8"/>
      <c r="C24" s="10">
        <v>5000</v>
      </c>
      <c r="D24" s="11"/>
      <c r="E24" s="11"/>
      <c r="F24" s="11"/>
      <c r="G24" s="11"/>
      <c r="H24" s="11"/>
      <c r="I24" s="11"/>
      <c r="J24" s="11"/>
      <c r="K24" s="12">
        <v>0.41799999999999998</v>
      </c>
    </row>
    <row r="25" spans="2:11" x14ac:dyDescent="0.25">
      <c r="B25" s="8"/>
      <c r="C25" s="10">
        <v>4800</v>
      </c>
      <c r="D25" s="11"/>
      <c r="E25" s="11"/>
      <c r="F25" s="11"/>
      <c r="G25" s="11"/>
      <c r="H25" s="11"/>
      <c r="I25" s="11"/>
      <c r="J25" s="11"/>
      <c r="K25" s="12">
        <v>0.41199999999999998</v>
      </c>
    </row>
    <row r="26" spans="2:11" x14ac:dyDescent="0.25">
      <c r="B26" s="8"/>
      <c r="C26" s="10">
        <v>4700</v>
      </c>
      <c r="D26" s="11"/>
      <c r="E26" s="11"/>
      <c r="F26" s="11"/>
      <c r="G26" s="11"/>
      <c r="H26" s="11"/>
      <c r="I26" s="11"/>
      <c r="J26" s="11"/>
      <c r="K26" s="12">
        <v>0.40899999999999997</v>
      </c>
    </row>
    <row r="27" spans="2:11" x14ac:dyDescent="0.25">
      <c r="B27" s="8"/>
      <c r="C27" s="10">
        <v>4600</v>
      </c>
      <c r="D27" s="11"/>
      <c r="E27" s="11"/>
      <c r="F27" s="11"/>
      <c r="G27" s="11"/>
      <c r="H27" s="11"/>
      <c r="I27" s="11"/>
      <c r="J27" s="11"/>
      <c r="K27" s="12">
        <v>0.40699999999999997</v>
      </c>
    </row>
    <row r="28" spans="2:11" x14ac:dyDescent="0.25">
      <c r="B28" s="8"/>
      <c r="C28" s="10">
        <v>4500</v>
      </c>
      <c r="D28" s="11"/>
      <c r="E28" s="11"/>
      <c r="F28" s="11"/>
      <c r="G28" s="11"/>
      <c r="H28" s="11"/>
      <c r="I28" s="11"/>
      <c r="J28" s="11"/>
      <c r="K28" s="12">
        <v>0.40400000000000003</v>
      </c>
    </row>
    <row r="29" spans="2:11" x14ac:dyDescent="0.25">
      <c r="B29" s="8"/>
      <c r="C29" s="10">
        <v>4400</v>
      </c>
      <c r="D29" s="11"/>
      <c r="E29" s="11"/>
      <c r="F29" s="11"/>
      <c r="G29" s="11"/>
      <c r="H29" s="11"/>
      <c r="I29" s="11"/>
      <c r="J29" s="11"/>
      <c r="K29" s="12">
        <v>0.40200000000000002</v>
      </c>
    </row>
    <row r="30" spans="2:11" x14ac:dyDescent="0.25">
      <c r="B30" s="8"/>
      <c r="C30" s="10">
        <v>4371</v>
      </c>
      <c r="D30" s="11"/>
      <c r="E30" s="11"/>
      <c r="F30" s="11"/>
      <c r="G30" s="11"/>
      <c r="H30" s="11"/>
      <c r="I30" s="11"/>
      <c r="J30" s="11"/>
      <c r="K30" s="12">
        <v>0.40100000000000002</v>
      </c>
    </row>
    <row r="31" spans="2:11" x14ac:dyDescent="0.25">
      <c r="B31" s="8"/>
      <c r="C31" s="10">
        <v>3700</v>
      </c>
      <c r="D31" s="11"/>
      <c r="E31" s="11"/>
      <c r="F31" s="11"/>
      <c r="G31" s="11"/>
      <c r="H31" s="11"/>
      <c r="I31" s="11"/>
      <c r="J31" s="11"/>
      <c r="K31" s="12">
        <v>0.46100000000000002</v>
      </c>
    </row>
    <row r="32" spans="2:11" x14ac:dyDescent="0.25">
      <c r="B32" s="8"/>
      <c r="C32" s="10">
        <v>2700</v>
      </c>
      <c r="D32" s="11"/>
      <c r="E32" s="11"/>
      <c r="F32" s="11"/>
      <c r="G32" s="11"/>
      <c r="H32" s="11"/>
      <c r="I32" s="11"/>
      <c r="J32" s="11"/>
      <c r="K32" s="12">
        <v>0.56599999999999995</v>
      </c>
    </row>
    <row r="33" spans="2:11" x14ac:dyDescent="0.25">
      <c r="B33" s="8"/>
      <c r="C33" s="10">
        <v>1700</v>
      </c>
      <c r="D33" s="11"/>
      <c r="E33" s="11"/>
      <c r="F33" s="11"/>
      <c r="G33" s="11"/>
      <c r="H33" s="11"/>
      <c r="I33" s="11"/>
      <c r="J33" s="11"/>
      <c r="K33" s="12">
        <v>0.7</v>
      </c>
    </row>
    <row r="34" spans="2:11" x14ac:dyDescent="0.25">
      <c r="B34" s="8"/>
      <c r="C34" s="10">
        <v>1000</v>
      </c>
      <c r="D34" s="11"/>
      <c r="E34" s="11"/>
      <c r="F34" s="11"/>
      <c r="G34" s="11"/>
      <c r="H34" s="11"/>
      <c r="I34" s="11"/>
      <c r="J34" s="11"/>
      <c r="K34" s="12">
        <v>0.82399999999999995</v>
      </c>
    </row>
    <row r="35" spans="2:11" x14ac:dyDescent="0.25">
      <c r="B35" s="8"/>
      <c r="C35" s="10">
        <v>500</v>
      </c>
      <c r="D35" s="11"/>
      <c r="E35" s="11"/>
      <c r="F35" s="11"/>
      <c r="G35" s="11"/>
      <c r="H35" s="11"/>
      <c r="I35" s="11"/>
      <c r="J35" s="11"/>
      <c r="K35" s="12">
        <v>0.94699999999999995</v>
      </c>
    </row>
    <row r="36" spans="2:11" x14ac:dyDescent="0.25">
      <c r="B36" s="8"/>
      <c r="C36" s="10">
        <v>200</v>
      </c>
      <c r="D36" s="11"/>
      <c r="E36" s="11"/>
      <c r="F36" s="11"/>
      <c r="G36" s="11"/>
      <c r="H36" s="11"/>
      <c r="I36" s="11"/>
      <c r="J36" s="11"/>
      <c r="K36" s="12">
        <v>1.0580000000000001</v>
      </c>
    </row>
    <row r="37" spans="2:11" x14ac:dyDescent="0.25">
      <c r="B37" s="8"/>
      <c r="C37" s="10">
        <v>0</v>
      </c>
      <c r="D37" s="11"/>
      <c r="E37" s="11"/>
      <c r="F37" s="11"/>
      <c r="G37" s="11"/>
      <c r="H37" s="11"/>
      <c r="I37" s="11"/>
      <c r="J37" s="11"/>
      <c r="K37" s="12">
        <v>1.2569999999999999</v>
      </c>
    </row>
    <row r="38" spans="2:11" x14ac:dyDescent="0.25">
      <c r="B38" s="8"/>
      <c r="C38" s="10"/>
      <c r="D38" s="11"/>
      <c r="E38" s="11"/>
      <c r="F38" s="11"/>
      <c r="G38" s="11"/>
      <c r="H38" s="11"/>
      <c r="I38" s="11"/>
      <c r="J38" s="11"/>
      <c r="K38" s="11"/>
    </row>
    <row r="39" spans="2:11" x14ac:dyDescent="0.25">
      <c r="B39" s="8"/>
      <c r="C39" s="10"/>
      <c r="D39" s="11"/>
      <c r="E39" s="11"/>
      <c r="F39" s="11"/>
      <c r="G39" s="11"/>
      <c r="H39" s="11"/>
      <c r="I39" s="11"/>
      <c r="J39" s="11"/>
      <c r="K39" s="11"/>
    </row>
    <row r="40" spans="2:11" x14ac:dyDescent="0.25">
      <c r="B40" s="8"/>
      <c r="C40" s="10"/>
      <c r="D40" s="11"/>
      <c r="E40" s="11"/>
      <c r="F40" s="11"/>
      <c r="G40" s="11"/>
      <c r="H40" s="11"/>
      <c r="I40" s="11"/>
      <c r="J40" s="11"/>
      <c r="K40" s="11"/>
    </row>
    <row r="41" spans="2:11" x14ac:dyDescent="0.25">
      <c r="B41" s="8"/>
      <c r="C41" s="10"/>
      <c r="D41" s="11"/>
      <c r="E41" s="11"/>
      <c r="F41" s="11"/>
      <c r="G41" s="11"/>
      <c r="H41" s="11"/>
      <c r="I41" s="11"/>
      <c r="J41" s="11"/>
      <c r="K41" s="11"/>
    </row>
    <row r="42" spans="2:11" x14ac:dyDescent="0.25">
      <c r="B42" s="8"/>
      <c r="C42" s="10"/>
      <c r="D42" s="11"/>
      <c r="E42" s="11"/>
      <c r="F42" s="11"/>
      <c r="G42" s="11"/>
      <c r="H42" s="11"/>
      <c r="I42" s="11"/>
      <c r="J42" s="11"/>
      <c r="K42" s="11"/>
    </row>
    <row r="43" spans="2:11" x14ac:dyDescent="0.25">
      <c r="B43" s="8"/>
      <c r="C43" s="10"/>
      <c r="D43" s="11"/>
      <c r="E43" s="11"/>
      <c r="F43" s="11"/>
      <c r="G43" s="11"/>
      <c r="H43" s="11"/>
      <c r="I43" s="11"/>
      <c r="J43" s="11"/>
      <c r="K43" s="11"/>
    </row>
    <row r="44" spans="2:11" x14ac:dyDescent="0.25">
      <c r="B44" s="8"/>
      <c r="C44" s="10"/>
      <c r="D44" s="11"/>
      <c r="E44" s="11"/>
      <c r="F44" s="11"/>
      <c r="G44" s="11"/>
      <c r="H44" s="11"/>
      <c r="I44" s="11"/>
      <c r="J44" s="11"/>
      <c r="K44" s="11"/>
    </row>
    <row r="45" spans="2:11" x14ac:dyDescent="0.25">
      <c r="B45" s="8"/>
      <c r="C45" s="10"/>
      <c r="D45" s="11"/>
      <c r="E45" s="11"/>
      <c r="F45" s="11"/>
      <c r="G45" s="11"/>
      <c r="H45" s="11"/>
      <c r="I45" s="11"/>
      <c r="J45" s="11"/>
      <c r="K45" s="11"/>
    </row>
    <row r="46" spans="2:11" x14ac:dyDescent="0.25">
      <c r="B46" s="8"/>
      <c r="C46" s="10"/>
      <c r="D46" s="11"/>
      <c r="E46" s="11"/>
      <c r="F46" s="11"/>
      <c r="G46" s="11"/>
      <c r="H46" s="11"/>
      <c r="I46" s="11"/>
      <c r="J46" s="11"/>
      <c r="K46" s="11"/>
    </row>
    <row r="47" spans="2:11" x14ac:dyDescent="0.25">
      <c r="B47" s="8"/>
      <c r="C47" s="10"/>
      <c r="D47" s="11"/>
      <c r="E47" s="11"/>
      <c r="F47" s="11"/>
      <c r="G47" s="11"/>
      <c r="H47" s="11"/>
      <c r="I47" s="11"/>
      <c r="J47" s="11"/>
      <c r="K47" s="11"/>
    </row>
    <row r="48" spans="2:11" x14ac:dyDescent="0.25">
      <c r="B48" s="8"/>
      <c r="C48" s="10"/>
      <c r="D48" s="11"/>
      <c r="E48" s="11"/>
      <c r="F48" s="11"/>
      <c r="G48" s="11"/>
      <c r="H48" s="11"/>
      <c r="I48" s="11"/>
      <c r="J48" s="11"/>
      <c r="K48" s="11"/>
    </row>
    <row r="49" spans="2:11" x14ac:dyDescent="0.25">
      <c r="B49" s="8"/>
      <c r="C49" s="10"/>
      <c r="D49" s="11"/>
      <c r="E49" s="11"/>
      <c r="F49" s="11"/>
      <c r="G49" s="11"/>
      <c r="H49" s="11"/>
      <c r="I49" s="11"/>
      <c r="J49" s="11"/>
      <c r="K49" s="11"/>
    </row>
    <row r="50" spans="2:11" x14ac:dyDescent="0.25">
      <c r="B50" s="8"/>
      <c r="C50" s="10"/>
      <c r="D50" s="11"/>
      <c r="E50" s="11"/>
      <c r="F50" s="11"/>
      <c r="G50" s="11"/>
      <c r="H50" s="11"/>
      <c r="I50" s="11"/>
      <c r="J50" s="11"/>
      <c r="K50" s="11"/>
    </row>
    <row r="51" spans="2:11" x14ac:dyDescent="0.25">
      <c r="B51" s="8"/>
      <c r="C51" s="10"/>
      <c r="D51" s="11"/>
      <c r="E51" s="11"/>
      <c r="F51" s="11"/>
      <c r="G51" s="11"/>
      <c r="H51" s="11"/>
      <c r="I51" s="11"/>
      <c r="J51" s="11"/>
      <c r="K51" s="11"/>
    </row>
    <row r="52" spans="2:11" x14ac:dyDescent="0.25">
      <c r="B52" s="8"/>
      <c r="C52" s="10"/>
      <c r="D52" s="11"/>
      <c r="E52" s="11"/>
      <c r="F52" s="11"/>
      <c r="G52" s="11"/>
      <c r="H52" s="11"/>
      <c r="I52" s="11"/>
      <c r="J52" s="11"/>
      <c r="K52" s="11"/>
    </row>
    <row r="53" spans="2:11" x14ac:dyDescent="0.25">
      <c r="B53" s="8"/>
      <c r="C53" s="10"/>
      <c r="D53" s="11"/>
      <c r="E53" s="11"/>
      <c r="F53" s="11"/>
      <c r="G53" s="11"/>
      <c r="H53" s="11"/>
      <c r="I53" s="11"/>
      <c r="J53" s="11"/>
      <c r="K53" s="11"/>
    </row>
    <row r="54" spans="2:11" x14ac:dyDescent="0.25">
      <c r="B54" s="8"/>
      <c r="C54" s="10"/>
      <c r="D54" s="11"/>
      <c r="E54" s="11"/>
      <c r="F54" s="11"/>
      <c r="G54" s="11"/>
      <c r="H54" s="11"/>
      <c r="I54" s="11"/>
      <c r="J54" s="11"/>
      <c r="K54" s="11"/>
    </row>
    <row r="55" spans="2:11" x14ac:dyDescent="0.25">
      <c r="B55" s="8"/>
      <c r="C55" s="10"/>
      <c r="D55" s="11"/>
      <c r="E55" s="11"/>
      <c r="F55" s="11"/>
      <c r="G55" s="11"/>
      <c r="H55" s="11"/>
      <c r="I55" s="11"/>
      <c r="J55" s="11"/>
      <c r="K55" s="11"/>
    </row>
    <row r="56" spans="2:11" x14ac:dyDescent="0.25">
      <c r="B56" s="8"/>
      <c r="C56" s="10"/>
      <c r="D56" s="11"/>
      <c r="E56" s="11"/>
      <c r="F56" s="11"/>
      <c r="G56" s="11"/>
      <c r="H56" s="11"/>
      <c r="I56" s="11"/>
      <c r="J56" s="11"/>
      <c r="K56" s="11"/>
    </row>
    <row r="57" spans="2:11" x14ac:dyDescent="0.25">
      <c r="B57" s="8"/>
      <c r="C57" s="10"/>
      <c r="D57" s="11"/>
      <c r="E57" s="11"/>
      <c r="F57" s="11"/>
      <c r="G57" s="11"/>
      <c r="H57" s="11"/>
      <c r="I57" s="11"/>
      <c r="J57" s="11"/>
      <c r="K57" s="11"/>
    </row>
    <row r="58" spans="2:11" x14ac:dyDescent="0.25">
      <c r="B58" s="8"/>
      <c r="C58" s="10"/>
      <c r="D58" s="11"/>
      <c r="E58" s="11"/>
      <c r="F58" s="11"/>
      <c r="G58" s="11"/>
      <c r="H58" s="11"/>
      <c r="I58" s="11"/>
      <c r="J58" s="11"/>
      <c r="K58" s="11"/>
    </row>
    <row r="59" spans="2:11" x14ac:dyDescent="0.25">
      <c r="B59" s="8"/>
      <c r="C59" s="10"/>
      <c r="D59" s="11"/>
      <c r="E59" s="11"/>
      <c r="F59" s="11"/>
      <c r="G59" s="11"/>
      <c r="H59" s="11"/>
      <c r="I59" s="11"/>
      <c r="J59" s="11"/>
      <c r="K59" s="11"/>
    </row>
    <row r="60" spans="2:11" x14ac:dyDescent="0.25">
      <c r="B60" s="8"/>
      <c r="C60" s="10"/>
      <c r="D60" s="11"/>
      <c r="E60" s="11"/>
      <c r="F60" s="11"/>
      <c r="G60" s="11"/>
      <c r="H60" s="11"/>
      <c r="I60" s="11"/>
      <c r="J60" s="11"/>
      <c r="K60" s="11"/>
    </row>
    <row r="61" spans="2:11" x14ac:dyDescent="0.25">
      <c r="B61" s="8"/>
      <c r="C61" s="10"/>
      <c r="D61" s="11"/>
      <c r="E61" s="11"/>
      <c r="F61" s="11"/>
      <c r="G61" s="11"/>
      <c r="H61" s="11"/>
      <c r="I61" s="11"/>
      <c r="J61" s="11"/>
      <c r="K61" s="11"/>
    </row>
    <row r="62" spans="2:11" x14ac:dyDescent="0.25">
      <c r="B62" s="8"/>
      <c r="C62" s="10"/>
      <c r="D62" s="11"/>
      <c r="E62" s="11"/>
      <c r="F62" s="11"/>
      <c r="G62" s="11"/>
      <c r="H62" s="11"/>
      <c r="I62" s="11"/>
      <c r="J62" s="11"/>
      <c r="K62" s="11"/>
    </row>
    <row r="63" spans="2:11" x14ac:dyDescent="0.25">
      <c r="B63" s="8"/>
      <c r="C63" s="10"/>
      <c r="D63" s="11"/>
      <c r="E63" s="11"/>
      <c r="F63" s="11"/>
      <c r="G63" s="11"/>
      <c r="H63" s="11"/>
      <c r="I63" s="11"/>
      <c r="J63" s="11"/>
      <c r="K63" s="11"/>
    </row>
    <row r="64" spans="2:11" x14ac:dyDescent="0.25">
      <c r="B64" s="8"/>
      <c r="C64" s="10"/>
      <c r="D64" s="11"/>
      <c r="E64" s="11"/>
      <c r="F64" s="11"/>
      <c r="G64" s="11"/>
      <c r="H64" s="11"/>
      <c r="I64" s="11"/>
      <c r="J64" s="11"/>
      <c r="K64" s="11"/>
    </row>
    <row r="65" spans="2:11" x14ac:dyDescent="0.25">
      <c r="B65" s="8"/>
      <c r="C65" s="10"/>
      <c r="D65" s="11"/>
      <c r="E65" s="11"/>
      <c r="F65" s="11"/>
      <c r="G65" s="11"/>
      <c r="H65" s="11"/>
      <c r="I65" s="11"/>
      <c r="J65" s="11"/>
      <c r="K65" s="11"/>
    </row>
    <row r="66" spans="2:11" x14ac:dyDescent="0.25">
      <c r="B66" s="8"/>
      <c r="C66" s="10"/>
      <c r="D66" s="11"/>
      <c r="E66" s="11"/>
      <c r="F66" s="11"/>
      <c r="G66" s="11"/>
      <c r="H66" s="11"/>
      <c r="I66" s="11"/>
      <c r="J66" s="11"/>
      <c r="K66" s="11"/>
    </row>
    <row r="67" spans="2:11" x14ac:dyDescent="0.25">
      <c r="B67" s="8"/>
      <c r="C67" s="10"/>
      <c r="D67" s="11"/>
      <c r="E67" s="11"/>
      <c r="F67" s="11"/>
      <c r="G67" s="11"/>
      <c r="H67" s="11"/>
      <c r="I67" s="11"/>
      <c r="J67" s="11"/>
      <c r="K67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3" name="ddTres">
              <controlPr defaultSize="0" autoFill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4" name="ddBorY1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5" r:id="rId5" name="ddBorY2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6" r:id="rId6" name="ddBorY3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7" r:id="rId7" name="ddBorY4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8" r:id="rId8" name="ddBorY5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9" r:id="rId9" name="ddBorY6">
              <controlPr defaultSize="0" autoFill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0" r:id="rId10" name="ddBorY7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1" r:id="rId11" name="ddBorY8">
              <controlPr defaultSize="0" autoFill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2" r:id="rId12" name="ddBorY9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3" r:id="rId13" name="ddBorY10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4" r:id="rId14" name="ddBorY11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5" r:id="rId15" name="ddBorY1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6" r:id="rId16" name="ddBorY13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7" r:id="rId17" name="ddBorY14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8" r:id="rId18" name="ddBorY15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9" r:id="rId19" name="ddBorY16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0" r:id="rId20" name="ddBorY17">
              <controlPr defaultSize="0" autoFill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1" r:id="rId21" name="ddBorY18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2" r:id="rId22" name="ddBorY19">
              <controlPr defaultSize="0" autoFill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3" r:id="rId23" name="ddBorY20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4" r:id="rId24" name="ddBorY21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5" r:id="rId25" name="ddBorY22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6" r:id="rId26" name="ddBorY23">
              <controlPr defaultSize="0" autoFill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7" r:id="rId27" name="ddBorY24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8" r:id="rId28" name="ddBorY25">
              <controlPr defaultSize="0" autoFill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9" r:id="rId29" name="ddBorY2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0" r:id="rId30" name="ddBorY27">
              <controlPr defaultSize="0" autoFill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1" r:id="rId31" name="ddBorY28">
              <controlPr defaultSize="0" autoFill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2" r:id="rId32" name="ddBorY29">
              <controlPr defaultSize="0" autoFill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3" r:id="rId33" name="ddBorY30">
              <controlPr defaultSize="0" autoFill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4" r:id="rId34" name="ddBorY31">
              <controlPr defaultSize="0" autoFill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5" r:id="rId35" name="ddBorY32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6" r:id="rId36" name="ddBorY33">
              <controlPr defaultSize="0" autoFill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7" r:id="rId37" name="ddBorY34">
              <controlPr defaultSize="0" autoFill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8" r:id="rId38" name="ddBorY35">
              <controlPr defaultSize="0" autoFill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9" r:id="rId39" name="ddBorY36">
              <controlPr defaultSize="0" autoFill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0" r:id="rId40" name="ddBorY37">
              <controlPr defaultSize="0" autoFill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1" r:id="rId41" name="ddBorY38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2" r:id="rId42" name="ddBorY39">
              <controlPr defaultSize="0" autoFill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3" r:id="rId43" name="ddBorY40">
              <controlPr defaultSize="0" autoFill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4" r:id="rId44" name="ddBorY41">
              <controlPr defaultSize="0" autoFill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5" r:id="rId45" name="ddBorY42">
              <controlPr defaultSize="0" autoFill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6" r:id="rId46" name="ddBorY43">
              <controlPr defaultSize="0" autoFill="0" autoPict="0">
                <anchor mov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7" r:id="rId47" name="ddBorY44">
              <controlPr defaultSize="0" autoFill="0" autoPict="0">
                <anchor moveWithCells="1">
                  <from>
                    <xdr:col>1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8" r:id="rId48" name="ddBorY45">
              <controlPr defaultSize="0" autoFill="0" autoPict="0">
                <anchor moveWithCells="1">
                  <from>
                    <xdr:col>1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9" r:id="rId49" name="ddBorY46">
              <controlPr defaultSize="0" autoFill="0" autoPict="0">
                <anchor moveWithCells="1">
                  <from>
                    <xdr:col>1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0" r:id="rId50" name="ddBorY47">
              <controlPr defaultSize="0" autoFill="0" autoPict="0">
                <anchor moveWithCells="1">
                  <from>
                    <xdr:col>1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1" r:id="rId51" name="ddBorY48">
              <controlPr defaultSize="0" autoFill="0" autoPict="0">
                <anchor moveWithCells="1">
                  <from>
                    <xdr:col>1</xdr:col>
                    <xdr:colOff>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2" r:id="rId52" name="ddBorY49">
              <controlPr defaultSize="0" autoFill="0" autoPict="0">
                <anchor moveWithCells="1">
                  <from>
                    <xdr:col>1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3" r:id="rId53" name="ddBorY50">
              <controlPr defaultSize="0" autoFill="0" autoPict="0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4" r:id="rId54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5" r:id="rId55" name="ddCuni1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6" r:id="rId56" name="ddCyn1">
              <controlPr defaultSize="0" autoFill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7" r:id="rId57" name="ddCuni2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8" r:id="rId58" name="ddCyn2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9" r:id="rId59" name="ddCuni3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0" r:id="rId60" name="ddCyn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1" r:id="rId61" name="ddCuni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2" r:id="rId62" name="ddCyn4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3" r:id="rId63" name="ddCuni5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4" r:id="rId64" name="ddCyn5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5" r:id="rId65" name="ddCuni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6" r:id="rId66" name="ddCyn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7" r:id="rId67" name="ddCuni7">
              <controlPr defaultSize="0" autoFill="0" autoPict="0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8" r:id="rId68" name="ddCyn7">
              <controlPr defaultSize="0" autoFill="0" autoPict="0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9" r:id="rId69" name="ddCuni8">
              <controlPr defaultSize="0" autoFill="0" autoPict="0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80" r:id="rId70" name="ddCyn8">
              <controlPr defaultSize="0" autoFill="0" autoPict="0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2365F-6A33-40CD-AA7C-C4C164CE00BE}">
  <sheetPr codeName="Sheet2"/>
  <dimension ref="B5:G26"/>
  <sheetViews>
    <sheetView workbookViewId="0">
      <selection activeCell="C26" sqref="C26"/>
    </sheetView>
  </sheetViews>
  <sheetFormatPr defaultRowHeight="15" x14ac:dyDescent="0.25"/>
  <sheetData>
    <row r="5" spans="2:7" x14ac:dyDescent="0.25">
      <c r="B5" s="1" t="s">
        <v>92</v>
      </c>
      <c r="E5" s="3" t="s">
        <v>93</v>
      </c>
      <c r="G5" s="1" t="s">
        <v>99</v>
      </c>
    </row>
    <row r="7" spans="2:7" x14ac:dyDescent="0.25">
      <c r="B7" s="1" t="s">
        <v>94</v>
      </c>
      <c r="E7" s="3">
        <v>3</v>
      </c>
      <c r="G7" s="1" t="s">
        <v>135</v>
      </c>
    </row>
    <row r="9" spans="2:7" x14ac:dyDescent="0.25">
      <c r="B9" s="1" t="s">
        <v>100</v>
      </c>
      <c r="E9" s="8">
        <v>1</v>
      </c>
      <c r="G9" s="1" t="s">
        <v>136</v>
      </c>
    </row>
    <row r="11" spans="2:7" x14ac:dyDescent="0.25">
      <c r="B11" s="1" t="s">
        <v>95</v>
      </c>
      <c r="C11" s="8" t="s">
        <v>137</v>
      </c>
    </row>
    <row r="12" spans="2:7" x14ac:dyDescent="0.25">
      <c r="B12" s="1" t="s">
        <v>96</v>
      </c>
      <c r="C12" s="8">
        <v>243</v>
      </c>
    </row>
    <row r="13" spans="2:7" x14ac:dyDescent="0.25">
      <c r="B13" s="1" t="s">
        <v>97</v>
      </c>
      <c r="C13" s="8">
        <v>0.86990000000000001</v>
      </c>
    </row>
    <row r="14" spans="2:7" x14ac:dyDescent="0.25">
      <c r="B14" s="1" t="s">
        <v>98</v>
      </c>
      <c r="C14" s="8">
        <v>0.96450000000000002</v>
      </c>
    </row>
    <row r="15" spans="2:7" x14ac:dyDescent="0.25">
      <c r="B15" s="1" t="s">
        <v>52</v>
      </c>
      <c r="C15" s="9">
        <v>0.39</v>
      </c>
    </row>
    <row r="16" spans="2:7" x14ac:dyDescent="0.25">
      <c r="B16" s="1" t="s">
        <v>53</v>
      </c>
      <c r="C16" s="9">
        <v>1.84</v>
      </c>
    </row>
    <row r="17" spans="2:3" x14ac:dyDescent="0.25">
      <c r="B17" s="1" t="s">
        <v>101</v>
      </c>
      <c r="C17" s="9">
        <v>0</v>
      </c>
    </row>
    <row r="18" spans="2:3" x14ac:dyDescent="0.25">
      <c r="B18" s="1" t="s">
        <v>54</v>
      </c>
      <c r="C18" s="9">
        <v>49.09</v>
      </c>
    </row>
    <row r="19" spans="2:3" x14ac:dyDescent="0.25">
      <c r="B19" s="1" t="s">
        <v>55</v>
      </c>
      <c r="C19" s="9">
        <v>6.7</v>
      </c>
    </row>
    <row r="20" spans="2:3" x14ac:dyDescent="0.25">
      <c r="B20" s="1" t="s">
        <v>56</v>
      </c>
      <c r="C20" s="9">
        <v>3.76</v>
      </c>
    </row>
    <row r="21" spans="2:3" x14ac:dyDescent="0.25">
      <c r="B21" s="1" t="s">
        <v>102</v>
      </c>
      <c r="C21" s="9">
        <v>0.57999999999999996</v>
      </c>
    </row>
    <row r="22" spans="2:3" x14ac:dyDescent="0.25">
      <c r="B22" s="1" t="s">
        <v>103</v>
      </c>
      <c r="C22" s="9">
        <v>1.71</v>
      </c>
    </row>
    <row r="23" spans="2:3" x14ac:dyDescent="0.25">
      <c r="B23" s="1" t="s">
        <v>104</v>
      </c>
      <c r="C23" s="9">
        <v>0.62</v>
      </c>
    </row>
    <row r="24" spans="2:3" x14ac:dyDescent="0.25">
      <c r="B24" s="1" t="s">
        <v>105</v>
      </c>
      <c r="C24" s="9">
        <v>0.97</v>
      </c>
    </row>
    <row r="25" spans="2:3" x14ac:dyDescent="0.25">
      <c r="B25" s="1" t="s">
        <v>61</v>
      </c>
      <c r="C25" s="9">
        <v>1.34</v>
      </c>
    </row>
    <row r="26" spans="2:3" x14ac:dyDescent="0.25">
      <c r="B26" s="1" t="s">
        <v>106</v>
      </c>
      <c r="C26" s="9">
        <v>33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AFE05-DC4B-4824-861A-2E7537008CD2}">
  <sheetPr codeName="Sheet3"/>
  <dimension ref="B2:L64"/>
  <sheetViews>
    <sheetView workbookViewId="0">
      <selection activeCell="C16" sqref="C16"/>
    </sheetView>
  </sheetViews>
  <sheetFormatPr defaultRowHeight="15" x14ac:dyDescent="0.25"/>
  <cols>
    <col min="11" max="11" width="25.7109375" customWidth="1"/>
    <col min="12" max="12" width="12.7109375" customWidth="1"/>
  </cols>
  <sheetData>
    <row r="2" spans="2:12" x14ac:dyDescent="0.25">
      <c r="K2" s="1" t="s">
        <v>8</v>
      </c>
      <c r="L2" s="1" t="s">
        <v>9</v>
      </c>
    </row>
    <row r="4" spans="2:12" x14ac:dyDescent="0.25">
      <c r="K4" s="3" t="s">
        <v>10</v>
      </c>
      <c r="L4" s="4">
        <v>0</v>
      </c>
    </row>
    <row r="5" spans="2:12" x14ac:dyDescent="0.25">
      <c r="B5" s="1" t="s">
        <v>5</v>
      </c>
      <c r="D5" s="8" t="s">
        <v>137</v>
      </c>
      <c r="K5" s="3" t="s">
        <v>148</v>
      </c>
      <c r="L5" s="4">
        <v>0</v>
      </c>
    </row>
    <row r="6" spans="2:12" x14ac:dyDescent="0.25">
      <c r="K6" s="3" t="s">
        <v>149</v>
      </c>
      <c r="L6" s="4">
        <v>1.84</v>
      </c>
    </row>
    <row r="7" spans="2:12" x14ac:dyDescent="0.25">
      <c r="B7" s="1" t="s">
        <v>6</v>
      </c>
      <c r="D7" s="3">
        <v>243</v>
      </c>
      <c r="K7" s="3" t="s">
        <v>11</v>
      </c>
      <c r="L7" s="4">
        <v>0.39</v>
      </c>
    </row>
    <row r="8" spans="2:12" x14ac:dyDescent="0.25">
      <c r="B8" s="1" t="s">
        <v>7</v>
      </c>
      <c r="D8" s="3">
        <v>0.86990000000000001</v>
      </c>
      <c r="K8" s="3" t="s">
        <v>12</v>
      </c>
      <c r="L8" s="4">
        <v>49.09</v>
      </c>
    </row>
    <row r="9" spans="2:12" x14ac:dyDescent="0.25">
      <c r="K9" s="3" t="s">
        <v>13</v>
      </c>
      <c r="L9" s="4">
        <v>6.7</v>
      </c>
    </row>
    <row r="10" spans="2:12" x14ac:dyDescent="0.25">
      <c r="K10" s="3" t="s">
        <v>14</v>
      </c>
      <c r="L10" s="4">
        <v>3.76</v>
      </c>
    </row>
    <row r="11" spans="2:12" x14ac:dyDescent="0.25">
      <c r="B11" t="s">
        <v>51</v>
      </c>
      <c r="C11" t="s">
        <v>9</v>
      </c>
      <c r="K11" s="3" t="s">
        <v>15</v>
      </c>
      <c r="L11" s="4">
        <v>0.57999999999999996</v>
      </c>
    </row>
    <row r="12" spans="2:12" x14ac:dyDescent="0.25">
      <c r="B12" t="s">
        <v>52</v>
      </c>
      <c r="C12" s="5">
        <v>0.39</v>
      </c>
      <c r="K12" s="3" t="s">
        <v>16</v>
      </c>
      <c r="L12" s="4">
        <v>1.71</v>
      </c>
    </row>
    <row r="13" spans="2:12" x14ac:dyDescent="0.25">
      <c r="B13" t="s">
        <v>53</v>
      </c>
      <c r="C13" s="5">
        <v>1.84</v>
      </c>
      <c r="K13" s="3" t="s">
        <v>138</v>
      </c>
      <c r="L13" s="4">
        <v>0</v>
      </c>
    </row>
    <row r="14" spans="2:12" x14ac:dyDescent="0.25">
      <c r="B14" t="s">
        <v>54</v>
      </c>
      <c r="C14" s="5">
        <v>49.09</v>
      </c>
      <c r="K14" s="3" t="s">
        <v>17</v>
      </c>
      <c r="L14" s="4">
        <v>0.62</v>
      </c>
    </row>
    <row r="15" spans="2:12" x14ac:dyDescent="0.25">
      <c r="B15" t="s">
        <v>55</v>
      </c>
      <c r="C15" s="5">
        <v>6.7</v>
      </c>
      <c r="K15" s="3" t="s">
        <v>18</v>
      </c>
      <c r="L15" s="4">
        <v>0.97</v>
      </c>
    </row>
    <row r="16" spans="2:12" x14ac:dyDescent="0.25">
      <c r="B16" t="s">
        <v>56</v>
      </c>
      <c r="C16" s="5">
        <v>3.76</v>
      </c>
      <c r="K16" s="3" t="s">
        <v>19</v>
      </c>
      <c r="L16" s="4">
        <v>1.34</v>
      </c>
    </row>
    <row r="17" spans="2:12" x14ac:dyDescent="0.25">
      <c r="B17" t="s">
        <v>57</v>
      </c>
      <c r="C17" s="5">
        <v>0.57999999999999996</v>
      </c>
      <c r="K17" s="3" t="s">
        <v>139</v>
      </c>
      <c r="L17" s="4">
        <v>0.44</v>
      </c>
    </row>
    <row r="18" spans="2:12" x14ac:dyDescent="0.25">
      <c r="B18" t="s">
        <v>58</v>
      </c>
      <c r="C18" s="5">
        <v>1.71</v>
      </c>
      <c r="K18" s="3" t="s">
        <v>20</v>
      </c>
      <c r="L18" s="4">
        <v>0.6</v>
      </c>
    </row>
    <row r="19" spans="2:12" x14ac:dyDescent="0.25">
      <c r="B19" t="s">
        <v>59</v>
      </c>
      <c r="C19" s="5">
        <v>0.62</v>
      </c>
      <c r="K19" s="3" t="s">
        <v>140</v>
      </c>
      <c r="L19" s="4">
        <v>0.65</v>
      </c>
    </row>
    <row r="20" spans="2:12" x14ac:dyDescent="0.25">
      <c r="B20" t="s">
        <v>60</v>
      </c>
      <c r="C20" s="5">
        <v>0.97</v>
      </c>
      <c r="K20" s="3" t="s">
        <v>21</v>
      </c>
      <c r="L20" s="4">
        <v>1.21</v>
      </c>
    </row>
    <row r="21" spans="2:12" x14ac:dyDescent="0.25">
      <c r="B21" t="s">
        <v>61</v>
      </c>
      <c r="C21" s="5">
        <v>1.34</v>
      </c>
      <c r="K21" s="3" t="s">
        <v>141</v>
      </c>
      <c r="L21" s="4">
        <v>0.86</v>
      </c>
    </row>
    <row r="22" spans="2:12" x14ac:dyDescent="0.25">
      <c r="B22" t="s">
        <v>62</v>
      </c>
      <c r="C22" s="5">
        <v>2.9</v>
      </c>
      <c r="K22" s="3" t="s">
        <v>22</v>
      </c>
      <c r="L22" s="4">
        <v>0.85</v>
      </c>
    </row>
    <row r="23" spans="2:12" x14ac:dyDescent="0.25">
      <c r="B23" t="s">
        <v>63</v>
      </c>
      <c r="C23" s="5">
        <v>3.21</v>
      </c>
      <c r="K23" s="3" t="s">
        <v>23</v>
      </c>
      <c r="L23" s="4">
        <v>1.5</v>
      </c>
    </row>
    <row r="24" spans="2:12" x14ac:dyDescent="0.25">
      <c r="B24" t="s">
        <v>64</v>
      </c>
      <c r="C24" s="5">
        <v>2.42</v>
      </c>
      <c r="K24" s="3" t="s">
        <v>142</v>
      </c>
      <c r="L24" s="4">
        <v>0.17</v>
      </c>
    </row>
    <row r="25" spans="2:12" x14ac:dyDescent="0.25">
      <c r="B25" t="s">
        <v>65</v>
      </c>
      <c r="C25" s="5">
        <v>1.96</v>
      </c>
      <c r="K25" s="3" t="s">
        <v>143</v>
      </c>
      <c r="L25" s="4">
        <v>0.64</v>
      </c>
    </row>
    <row r="26" spans="2:12" x14ac:dyDescent="0.25">
      <c r="B26" t="s">
        <v>82</v>
      </c>
      <c r="C26" s="5">
        <v>1.63</v>
      </c>
      <c r="K26" s="3" t="s">
        <v>144</v>
      </c>
      <c r="L26" s="4">
        <v>0.23</v>
      </c>
    </row>
    <row r="27" spans="2:12" x14ac:dyDescent="0.25">
      <c r="B27" t="s">
        <v>83</v>
      </c>
      <c r="C27" s="5">
        <v>1.51</v>
      </c>
      <c r="K27" s="3" t="s">
        <v>24</v>
      </c>
      <c r="L27" s="4">
        <v>1.38</v>
      </c>
    </row>
    <row r="28" spans="2:12" x14ac:dyDescent="0.25">
      <c r="B28" t="s">
        <v>84</v>
      </c>
      <c r="C28" s="5">
        <v>1.6</v>
      </c>
      <c r="K28" s="3" t="s">
        <v>145</v>
      </c>
      <c r="L28" s="4">
        <v>0.23</v>
      </c>
    </row>
    <row r="29" spans="2:12" x14ac:dyDescent="0.25">
      <c r="B29" t="s">
        <v>85</v>
      </c>
      <c r="C29" s="5">
        <v>1.41</v>
      </c>
      <c r="K29" s="3" t="s">
        <v>25</v>
      </c>
      <c r="L29" s="4">
        <v>1.73</v>
      </c>
    </row>
    <row r="30" spans="2:12" x14ac:dyDescent="0.25">
      <c r="B30" t="s">
        <v>86</v>
      </c>
      <c r="C30" s="5">
        <v>1.55</v>
      </c>
      <c r="K30" s="3" t="s">
        <v>26</v>
      </c>
      <c r="L30" s="4">
        <v>1.63</v>
      </c>
    </row>
    <row r="31" spans="2:12" x14ac:dyDescent="0.25">
      <c r="B31" t="s">
        <v>87</v>
      </c>
      <c r="C31" s="5">
        <v>1.26</v>
      </c>
      <c r="K31" s="3" t="s">
        <v>27</v>
      </c>
      <c r="L31" s="4">
        <v>1.51</v>
      </c>
    </row>
    <row r="32" spans="2:12" x14ac:dyDescent="0.25">
      <c r="B32" t="s">
        <v>88</v>
      </c>
      <c r="C32" s="5">
        <v>1.1200000000000001</v>
      </c>
      <c r="K32" s="3" t="s">
        <v>28</v>
      </c>
      <c r="L32" s="4">
        <v>1.6</v>
      </c>
    </row>
    <row r="33" spans="2:12" x14ac:dyDescent="0.25">
      <c r="B33" t="s">
        <v>89</v>
      </c>
      <c r="C33" s="5">
        <v>1.1100000000000001</v>
      </c>
      <c r="K33" s="3" t="s">
        <v>29</v>
      </c>
      <c r="L33" s="4">
        <v>1.41</v>
      </c>
    </row>
    <row r="34" spans="2:12" x14ac:dyDescent="0.25">
      <c r="B34" t="s">
        <v>90</v>
      </c>
      <c r="C34" s="5">
        <v>1.02</v>
      </c>
      <c r="K34" s="3" t="s">
        <v>30</v>
      </c>
      <c r="L34" s="4">
        <v>1.55</v>
      </c>
    </row>
    <row r="35" spans="2:12" x14ac:dyDescent="0.25">
      <c r="B35" t="s">
        <v>66</v>
      </c>
      <c r="C35" s="5">
        <v>0.88</v>
      </c>
      <c r="K35" s="3" t="s">
        <v>31</v>
      </c>
      <c r="L35" s="4">
        <v>1.26</v>
      </c>
    </row>
    <row r="36" spans="2:12" x14ac:dyDescent="0.25">
      <c r="B36" t="s">
        <v>67</v>
      </c>
      <c r="C36" s="5">
        <v>0.8</v>
      </c>
      <c r="K36" s="3" t="s">
        <v>32</v>
      </c>
      <c r="L36" s="4">
        <v>1.1200000000000001</v>
      </c>
    </row>
    <row r="37" spans="2:12" x14ac:dyDescent="0.25">
      <c r="B37" t="s">
        <v>68</v>
      </c>
      <c r="C37" s="5">
        <v>0.72</v>
      </c>
      <c r="K37" s="3" t="s">
        <v>33</v>
      </c>
      <c r="L37" s="4">
        <v>1.1100000000000001</v>
      </c>
    </row>
    <row r="38" spans="2:12" x14ac:dyDescent="0.25">
      <c r="B38" t="s">
        <v>69</v>
      </c>
      <c r="C38" s="5">
        <v>0.66</v>
      </c>
      <c r="K38" s="3" t="s">
        <v>34</v>
      </c>
      <c r="L38" s="4">
        <v>1.02</v>
      </c>
    </row>
    <row r="39" spans="2:12" x14ac:dyDescent="0.25">
      <c r="B39" t="s">
        <v>70</v>
      </c>
      <c r="C39" s="5">
        <v>0.6</v>
      </c>
      <c r="K39" s="3" t="s">
        <v>35</v>
      </c>
      <c r="L39" s="4">
        <v>0.88</v>
      </c>
    </row>
    <row r="40" spans="2:12" x14ac:dyDescent="0.25">
      <c r="B40" t="s">
        <v>71</v>
      </c>
      <c r="C40" s="5">
        <v>0.56000000000000005</v>
      </c>
      <c r="K40" s="3" t="s">
        <v>36</v>
      </c>
      <c r="L40" s="4">
        <v>0.8</v>
      </c>
    </row>
    <row r="41" spans="2:12" x14ac:dyDescent="0.25">
      <c r="B41" t="s">
        <v>72</v>
      </c>
      <c r="C41" s="5">
        <v>0.51</v>
      </c>
      <c r="K41" s="3" t="s">
        <v>37</v>
      </c>
      <c r="L41" s="4">
        <v>0.72</v>
      </c>
    </row>
    <row r="42" spans="2:12" x14ac:dyDescent="0.25">
      <c r="B42" t="s">
        <v>73</v>
      </c>
      <c r="C42" s="5">
        <v>0.46</v>
      </c>
      <c r="K42" s="3" t="s">
        <v>38</v>
      </c>
      <c r="L42" s="4">
        <v>0.66</v>
      </c>
    </row>
    <row r="43" spans="2:12" x14ac:dyDescent="0.25">
      <c r="B43" t="s">
        <v>74</v>
      </c>
      <c r="C43" s="5">
        <v>0.42</v>
      </c>
      <c r="K43" s="3" t="s">
        <v>39</v>
      </c>
      <c r="L43" s="4">
        <v>0.6</v>
      </c>
    </row>
    <row r="44" spans="2:12" x14ac:dyDescent="0.25">
      <c r="B44" t="s">
        <v>75</v>
      </c>
      <c r="C44" s="5">
        <v>0.42</v>
      </c>
      <c r="K44" s="3" t="s">
        <v>40</v>
      </c>
      <c r="L44" s="4">
        <v>0.56000000000000005</v>
      </c>
    </row>
    <row r="45" spans="2:12" x14ac:dyDescent="0.25">
      <c r="B45" t="s">
        <v>76</v>
      </c>
      <c r="C45" s="5">
        <v>0.37</v>
      </c>
      <c r="K45" s="3" t="s">
        <v>41</v>
      </c>
      <c r="L45" s="4">
        <v>0.51</v>
      </c>
    </row>
    <row r="46" spans="2:12" x14ac:dyDescent="0.25">
      <c r="B46" t="s">
        <v>77</v>
      </c>
      <c r="C46" s="5">
        <v>0.36</v>
      </c>
      <c r="K46" s="3" t="s">
        <v>42</v>
      </c>
      <c r="L46" s="4">
        <v>0.46</v>
      </c>
    </row>
    <row r="47" spans="2:12" x14ac:dyDescent="0.25">
      <c r="B47" t="s">
        <v>78</v>
      </c>
      <c r="C47" s="5">
        <v>0.31</v>
      </c>
      <c r="K47" s="3" t="s">
        <v>43</v>
      </c>
      <c r="L47" s="4">
        <v>0.42</v>
      </c>
    </row>
    <row r="48" spans="2:12" x14ac:dyDescent="0.25">
      <c r="B48" t="s">
        <v>79</v>
      </c>
      <c r="C48" s="5">
        <v>0.28999999999999998</v>
      </c>
      <c r="K48" s="3" t="s">
        <v>44</v>
      </c>
      <c r="L48" s="4">
        <v>0.42</v>
      </c>
    </row>
    <row r="49" spans="2:12" x14ac:dyDescent="0.25">
      <c r="B49" t="s">
        <v>80</v>
      </c>
      <c r="C49" s="5">
        <v>0.27</v>
      </c>
      <c r="K49" s="3" t="s">
        <v>45</v>
      </c>
      <c r="L49" s="4">
        <v>0.37</v>
      </c>
    </row>
    <row r="50" spans="2:12" x14ac:dyDescent="0.25">
      <c r="B50" t="s">
        <v>81</v>
      </c>
      <c r="C50" s="5">
        <v>0.24</v>
      </c>
      <c r="K50" s="3" t="s">
        <v>46</v>
      </c>
      <c r="L50" s="4">
        <v>0.36</v>
      </c>
    </row>
    <row r="51" spans="2:12" x14ac:dyDescent="0.25">
      <c r="B51" t="s">
        <v>91</v>
      </c>
      <c r="C51" s="5">
        <v>2.4300000000000002</v>
      </c>
      <c r="K51" s="3" t="s">
        <v>47</v>
      </c>
      <c r="L51" s="4">
        <v>0.31</v>
      </c>
    </row>
    <row r="52" spans="2:12" x14ac:dyDescent="0.25">
      <c r="C52" s="5">
        <f>SUM(C12:C51)</f>
        <v>99.999999999999986</v>
      </c>
      <c r="K52" s="3" t="s">
        <v>48</v>
      </c>
      <c r="L52" s="4">
        <v>0.28999999999999998</v>
      </c>
    </row>
    <row r="53" spans="2:12" x14ac:dyDescent="0.25">
      <c r="K53" s="3" t="s">
        <v>49</v>
      </c>
      <c r="L53" s="4">
        <v>0.27</v>
      </c>
    </row>
    <row r="54" spans="2:12" x14ac:dyDescent="0.25">
      <c r="K54" s="3" t="s">
        <v>50</v>
      </c>
      <c r="L54" s="4">
        <v>0.24</v>
      </c>
    </row>
    <row r="55" spans="2:12" x14ac:dyDescent="0.25">
      <c r="K55" s="3" t="s">
        <v>147</v>
      </c>
      <c r="L55" s="4">
        <v>2.4300000000000002</v>
      </c>
    </row>
    <row r="56" spans="2:12" x14ac:dyDescent="0.25">
      <c r="K56" s="3"/>
      <c r="L56" s="3"/>
    </row>
    <row r="57" spans="2:12" x14ac:dyDescent="0.25">
      <c r="K57" s="3"/>
      <c r="L57" s="3"/>
    </row>
    <row r="58" spans="2:12" x14ac:dyDescent="0.25">
      <c r="K58" s="3"/>
      <c r="L58" s="3"/>
    </row>
    <row r="59" spans="2:12" x14ac:dyDescent="0.25">
      <c r="K59" s="3"/>
      <c r="L59" s="3"/>
    </row>
    <row r="60" spans="2:12" x14ac:dyDescent="0.25">
      <c r="K60" s="3"/>
      <c r="L60" s="3"/>
    </row>
    <row r="61" spans="2:12" x14ac:dyDescent="0.25">
      <c r="K61" s="3"/>
      <c r="L61" s="3"/>
    </row>
    <row r="62" spans="2:12" x14ac:dyDescent="0.25">
      <c r="K62" s="3"/>
      <c r="L62" s="3"/>
    </row>
    <row r="63" spans="2:12" x14ac:dyDescent="0.25">
      <c r="K63" s="3"/>
      <c r="L63" s="3"/>
    </row>
    <row r="64" spans="2:12" x14ac:dyDescent="0.25">
      <c r="K64" s="3"/>
      <c r="L64" s="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4A4A3-60D0-4757-9DBE-B6707029BB4E}">
  <sheetPr codeName="Sheet4"/>
  <dimension ref="A2:R57"/>
  <sheetViews>
    <sheetView workbookViewId="0">
      <selection activeCell="K17" sqref="K17:K36"/>
    </sheetView>
  </sheetViews>
  <sheetFormatPr defaultRowHeight="15" x14ac:dyDescent="0.25"/>
  <cols>
    <col min="3" max="3" width="20.85546875" bestFit="1" customWidth="1"/>
    <col min="4" max="4" width="9.140625" style="6"/>
  </cols>
  <sheetData>
    <row r="2" spans="3:17" x14ac:dyDescent="0.25">
      <c r="J2" t="s">
        <v>169</v>
      </c>
      <c r="K2">
        <v>285</v>
      </c>
      <c r="L2" t="s">
        <v>170</v>
      </c>
    </row>
    <row r="4" spans="3:17" x14ac:dyDescent="0.25">
      <c r="C4" t="s">
        <v>10</v>
      </c>
      <c r="D4" s="6">
        <v>0</v>
      </c>
      <c r="F4" t="s">
        <v>151</v>
      </c>
      <c r="G4" t="s">
        <v>153</v>
      </c>
      <c r="H4" t="s">
        <v>155</v>
      </c>
      <c r="J4" t="s">
        <v>151</v>
      </c>
      <c r="K4" t="s">
        <v>157</v>
      </c>
      <c r="L4" t="s">
        <v>159</v>
      </c>
      <c r="M4" t="s">
        <v>161</v>
      </c>
      <c r="N4" t="s">
        <v>155</v>
      </c>
      <c r="O4" t="s">
        <v>163</v>
      </c>
      <c r="P4" t="s">
        <v>164</v>
      </c>
      <c r="Q4" t="s">
        <v>165</v>
      </c>
    </row>
    <row r="5" spans="3:17" x14ac:dyDescent="0.25">
      <c r="C5" t="s">
        <v>148</v>
      </c>
      <c r="D5" s="6">
        <v>0</v>
      </c>
      <c r="F5" t="s">
        <v>152</v>
      </c>
      <c r="G5" t="s">
        <v>154</v>
      </c>
      <c r="H5" t="s">
        <v>156</v>
      </c>
      <c r="J5" t="s">
        <v>152</v>
      </c>
      <c r="K5" t="s">
        <v>158</v>
      </c>
      <c r="L5" t="s">
        <v>160</v>
      </c>
      <c r="M5" t="s">
        <v>160</v>
      </c>
      <c r="N5" t="s">
        <v>162</v>
      </c>
      <c r="O5" t="s">
        <v>154</v>
      </c>
      <c r="P5" t="s">
        <v>166</v>
      </c>
      <c r="Q5" t="s">
        <v>154</v>
      </c>
    </row>
    <row r="6" spans="3:17" x14ac:dyDescent="0.25">
      <c r="C6" t="s">
        <v>149</v>
      </c>
      <c r="D6" s="6">
        <v>1.84</v>
      </c>
      <c r="F6">
        <v>7500</v>
      </c>
      <c r="G6" s="7">
        <v>0.95699999999999996</v>
      </c>
      <c r="H6" s="7">
        <v>0.69510000000000005</v>
      </c>
      <c r="J6">
        <v>4371</v>
      </c>
      <c r="K6">
        <v>1012</v>
      </c>
      <c r="L6">
        <v>1.621</v>
      </c>
      <c r="M6">
        <v>1.621</v>
      </c>
      <c r="N6">
        <v>0.66520000000000001</v>
      </c>
    </row>
    <row r="7" spans="3:17" x14ac:dyDescent="0.25">
      <c r="C7" t="s">
        <v>11</v>
      </c>
      <c r="D7" s="6">
        <v>0.39</v>
      </c>
      <c r="F7">
        <v>7000</v>
      </c>
      <c r="G7" s="7">
        <v>0.96260000000000001</v>
      </c>
      <c r="H7" s="7">
        <v>0.69110000000000005</v>
      </c>
      <c r="J7">
        <v>3700</v>
      </c>
      <c r="K7">
        <v>839</v>
      </c>
      <c r="L7">
        <v>1.5409999999999999</v>
      </c>
      <c r="M7">
        <v>1.706</v>
      </c>
      <c r="N7">
        <v>0.68169999999999997</v>
      </c>
      <c r="O7" s="5">
        <v>0.94</v>
      </c>
      <c r="P7" s="19">
        <v>5.3400000000000001E-3</v>
      </c>
      <c r="Q7">
        <v>0.746</v>
      </c>
    </row>
    <row r="8" spans="3:17" x14ac:dyDescent="0.25">
      <c r="C8" t="s">
        <v>12</v>
      </c>
      <c r="D8" s="6">
        <v>49.09</v>
      </c>
      <c r="F8">
        <v>6500</v>
      </c>
      <c r="G8" s="7">
        <v>0.96850000000000003</v>
      </c>
      <c r="H8" s="7">
        <v>0.68679999999999997</v>
      </c>
      <c r="J8">
        <v>2700</v>
      </c>
      <c r="K8">
        <v>598</v>
      </c>
      <c r="L8">
        <v>1.4319999999999999</v>
      </c>
      <c r="M8">
        <v>1.962</v>
      </c>
      <c r="N8">
        <v>0.70660000000000001</v>
      </c>
      <c r="O8" s="5">
        <v>0.92400000000000004</v>
      </c>
      <c r="P8" s="19">
        <v>7.1799999999999998E-3</v>
      </c>
      <c r="Q8">
        <v>0.73199999999999998</v>
      </c>
    </row>
    <row r="9" spans="3:17" x14ac:dyDescent="0.25">
      <c r="C9" t="s">
        <v>13</v>
      </c>
      <c r="D9" s="6">
        <v>6.7</v>
      </c>
      <c r="F9">
        <v>6000</v>
      </c>
      <c r="G9" s="7">
        <v>0.97489999999999999</v>
      </c>
      <c r="H9" s="7">
        <v>0.68230000000000002</v>
      </c>
      <c r="J9">
        <v>1700</v>
      </c>
      <c r="K9">
        <v>394</v>
      </c>
      <c r="L9">
        <v>1.337</v>
      </c>
      <c r="M9">
        <v>2.597</v>
      </c>
      <c r="N9">
        <v>0.7319</v>
      </c>
      <c r="O9" s="5">
        <v>0.93</v>
      </c>
      <c r="P9" s="19">
        <v>1.1440000000000001E-2</v>
      </c>
      <c r="Q9">
        <v>0.745</v>
      </c>
    </row>
    <row r="10" spans="3:17" x14ac:dyDescent="0.25">
      <c r="C10" t="s">
        <v>14</v>
      </c>
      <c r="D10" s="6">
        <v>3.76</v>
      </c>
      <c r="F10">
        <v>5723</v>
      </c>
      <c r="G10" s="7">
        <v>0.97870000000000001</v>
      </c>
      <c r="H10" s="7">
        <v>0.67969999999999997</v>
      </c>
      <c r="J10">
        <v>1000</v>
      </c>
      <c r="K10">
        <v>262</v>
      </c>
      <c r="L10">
        <v>1.276</v>
      </c>
      <c r="M10">
        <v>3.9220000000000002</v>
      </c>
      <c r="N10">
        <v>0.74960000000000004</v>
      </c>
      <c r="O10" s="5">
        <v>0.95199999999999996</v>
      </c>
      <c r="P10" s="19">
        <v>1.9800000000000002E-2</v>
      </c>
      <c r="Q10">
        <v>0.77300000000000002</v>
      </c>
    </row>
    <row r="11" spans="3:17" x14ac:dyDescent="0.25">
      <c r="C11" t="s">
        <v>15</v>
      </c>
      <c r="D11" s="6">
        <v>0.57999999999999996</v>
      </c>
      <c r="F11">
        <v>5500</v>
      </c>
      <c r="G11" s="7">
        <v>0.9819</v>
      </c>
      <c r="H11" s="7">
        <v>0.67749999999999999</v>
      </c>
      <c r="J11">
        <v>500</v>
      </c>
      <c r="K11">
        <v>168</v>
      </c>
      <c r="L11">
        <v>1.2290000000000001</v>
      </c>
      <c r="M11">
        <v>7.2229999999999999</v>
      </c>
      <c r="N11">
        <v>0.76439999999999997</v>
      </c>
      <c r="O11" s="5">
        <v>0.97199999999999998</v>
      </c>
      <c r="P11" s="19">
        <v>3.9870000000000003E-2</v>
      </c>
      <c r="Q11">
        <v>0.84499999999999997</v>
      </c>
    </row>
    <row r="12" spans="3:17" x14ac:dyDescent="0.25">
      <c r="C12" t="s">
        <v>16</v>
      </c>
      <c r="D12" s="6">
        <v>1.71</v>
      </c>
      <c r="F12">
        <v>5000</v>
      </c>
      <c r="G12" s="7">
        <v>0.98950000000000005</v>
      </c>
      <c r="H12" s="7">
        <v>0.67230000000000001</v>
      </c>
      <c r="J12">
        <v>200</v>
      </c>
      <c r="K12">
        <v>102</v>
      </c>
      <c r="L12">
        <v>1.1919999999999999</v>
      </c>
      <c r="M12">
        <v>16.919</v>
      </c>
      <c r="N12">
        <v>0.77539999999999998</v>
      </c>
      <c r="O12" s="5">
        <v>0.98699999999999999</v>
      </c>
      <c r="P12" s="19">
        <v>9.7059999999999994E-2</v>
      </c>
      <c r="Q12">
        <v>1.0209999999999999</v>
      </c>
    </row>
    <row r="13" spans="3:17" x14ac:dyDescent="0.25">
      <c r="C13" t="s">
        <v>138</v>
      </c>
      <c r="D13" s="6">
        <v>0</v>
      </c>
      <c r="F13">
        <v>4800</v>
      </c>
      <c r="G13" s="7">
        <v>0.99270000000000003</v>
      </c>
      <c r="H13" s="7">
        <v>0.67010000000000003</v>
      </c>
      <c r="J13">
        <v>0</v>
      </c>
      <c r="K13">
        <v>0</v>
      </c>
      <c r="L13">
        <v>1.1140000000000001</v>
      </c>
      <c r="N13">
        <v>0.78639999999999999</v>
      </c>
      <c r="Q13">
        <v>2.1680000000000001</v>
      </c>
    </row>
    <row r="14" spans="3:17" x14ac:dyDescent="0.25">
      <c r="C14" t="s">
        <v>17</v>
      </c>
      <c r="D14" s="6">
        <v>0.62</v>
      </c>
      <c r="F14">
        <v>4700</v>
      </c>
      <c r="G14" s="7">
        <v>0.99429999999999996</v>
      </c>
      <c r="H14" s="7">
        <v>0.66900000000000004</v>
      </c>
    </row>
    <row r="15" spans="3:17" x14ac:dyDescent="0.25">
      <c r="C15" t="s">
        <v>18</v>
      </c>
      <c r="D15" s="6">
        <v>0.97</v>
      </c>
      <c r="F15">
        <v>4600</v>
      </c>
      <c r="G15" s="7">
        <v>0.996</v>
      </c>
      <c r="H15" s="7">
        <v>0.66790000000000005</v>
      </c>
      <c r="J15" t="s">
        <v>151</v>
      </c>
      <c r="K15" t="s">
        <v>167</v>
      </c>
      <c r="M15" s="21">
        <v>37135</v>
      </c>
    </row>
    <row r="16" spans="3:17" x14ac:dyDescent="0.25">
      <c r="C16" t="s">
        <v>19</v>
      </c>
      <c r="D16" s="6">
        <v>1.34</v>
      </c>
      <c r="F16">
        <v>4500</v>
      </c>
      <c r="G16" s="7">
        <v>0.99770000000000003</v>
      </c>
      <c r="H16" s="7">
        <v>0.66669999999999996</v>
      </c>
      <c r="J16" t="s">
        <v>152</v>
      </c>
      <c r="K16" t="s">
        <v>168</v>
      </c>
    </row>
    <row r="17" spans="3:18" x14ac:dyDescent="0.25">
      <c r="C17" t="s">
        <v>139</v>
      </c>
      <c r="D17" s="6">
        <v>0.44</v>
      </c>
      <c r="F17">
        <v>4400</v>
      </c>
      <c r="G17" s="7">
        <v>0.99950000000000006</v>
      </c>
      <c r="H17" s="7">
        <v>0.66549999999999998</v>
      </c>
      <c r="J17">
        <v>7500</v>
      </c>
      <c r="K17" s="5">
        <v>0.498</v>
      </c>
      <c r="M17" t="s">
        <v>151</v>
      </c>
      <c r="N17" t="s">
        <v>169</v>
      </c>
      <c r="O17" t="s">
        <v>157</v>
      </c>
      <c r="P17" t="s">
        <v>155</v>
      </c>
      <c r="Q17" t="s">
        <v>159</v>
      </c>
      <c r="R17" t="s">
        <v>165</v>
      </c>
    </row>
    <row r="18" spans="3:18" x14ac:dyDescent="0.25">
      <c r="C18" t="s">
        <v>20</v>
      </c>
      <c r="D18" s="6">
        <v>0.6</v>
      </c>
      <c r="F18">
        <v>4371</v>
      </c>
      <c r="G18" s="7">
        <v>1</v>
      </c>
      <c r="H18" s="7">
        <v>0.66520000000000001</v>
      </c>
      <c r="J18">
        <v>7000</v>
      </c>
      <c r="K18" s="5">
        <v>0.48099999999999998</v>
      </c>
      <c r="M18" t="s">
        <v>152</v>
      </c>
      <c r="N18" t="s">
        <v>170</v>
      </c>
      <c r="O18" t="s">
        <v>171</v>
      </c>
      <c r="P18" t="s">
        <v>156</v>
      </c>
      <c r="Q18" t="s">
        <v>160</v>
      </c>
      <c r="R18" t="s">
        <v>154</v>
      </c>
    </row>
    <row r="19" spans="3:18" x14ac:dyDescent="0.25">
      <c r="C19" t="s">
        <v>140</v>
      </c>
      <c r="D19" s="6">
        <v>0.65</v>
      </c>
      <c r="F19">
        <v>4362</v>
      </c>
      <c r="G19" s="7">
        <v>1.0005999999999999</v>
      </c>
      <c r="J19">
        <v>6500</v>
      </c>
      <c r="K19" s="5">
        <v>0.46400000000000002</v>
      </c>
      <c r="M19">
        <v>4371</v>
      </c>
      <c r="N19">
        <v>285</v>
      </c>
      <c r="O19">
        <v>815</v>
      </c>
      <c r="Q19">
        <v>1.496</v>
      </c>
    </row>
    <row r="20" spans="3:18" x14ac:dyDescent="0.25">
      <c r="C20" t="s">
        <v>21</v>
      </c>
      <c r="D20" s="6">
        <v>1.21</v>
      </c>
      <c r="F20">
        <v>4343</v>
      </c>
      <c r="G20" s="7">
        <v>1.0018</v>
      </c>
      <c r="J20">
        <v>6000</v>
      </c>
      <c r="K20" s="5">
        <v>0.44800000000000001</v>
      </c>
      <c r="M20">
        <v>0</v>
      </c>
      <c r="N20">
        <v>60</v>
      </c>
      <c r="P20">
        <v>0.86309999999999998</v>
      </c>
      <c r="R20">
        <v>0.77700000000000002</v>
      </c>
    </row>
    <row r="21" spans="3:18" x14ac:dyDescent="0.25">
      <c r="C21" t="s">
        <v>141</v>
      </c>
      <c r="D21" s="6">
        <v>0.86</v>
      </c>
      <c r="F21">
        <v>4326</v>
      </c>
      <c r="G21" s="7">
        <v>1.0028999999999999</v>
      </c>
      <c r="J21">
        <v>5723</v>
      </c>
      <c r="K21" s="5">
        <v>0.439</v>
      </c>
    </row>
    <row r="22" spans="3:18" x14ac:dyDescent="0.25">
      <c r="C22" t="s">
        <v>22</v>
      </c>
      <c r="D22" s="6">
        <v>0.85</v>
      </c>
      <c r="F22">
        <v>4318</v>
      </c>
      <c r="G22" s="7">
        <v>1.0034000000000001</v>
      </c>
      <c r="J22">
        <v>5500</v>
      </c>
      <c r="K22" s="5">
        <v>0.432</v>
      </c>
      <c r="M22" t="s">
        <v>151</v>
      </c>
      <c r="N22" t="s">
        <v>169</v>
      </c>
      <c r="O22" t="s">
        <v>157</v>
      </c>
      <c r="P22" t="s">
        <v>155</v>
      </c>
      <c r="Q22" t="s">
        <v>159</v>
      </c>
      <c r="R22" t="s">
        <v>165</v>
      </c>
    </row>
    <row r="23" spans="3:18" x14ac:dyDescent="0.25">
      <c r="C23" t="s">
        <v>23</v>
      </c>
      <c r="D23" s="6">
        <v>1.5</v>
      </c>
      <c r="F23">
        <v>4312</v>
      </c>
      <c r="G23" s="7">
        <v>1.0038</v>
      </c>
      <c r="J23">
        <v>5000</v>
      </c>
      <c r="K23" s="5">
        <v>0.41799999999999998</v>
      </c>
      <c r="M23" t="s">
        <v>152</v>
      </c>
      <c r="N23" t="s">
        <v>170</v>
      </c>
      <c r="O23" t="s">
        <v>171</v>
      </c>
      <c r="P23" t="s">
        <v>156</v>
      </c>
      <c r="Q23" t="s">
        <v>160</v>
      </c>
      <c r="R23" t="s">
        <v>154</v>
      </c>
    </row>
    <row r="24" spans="3:18" x14ac:dyDescent="0.25">
      <c r="C24" t="s">
        <v>142</v>
      </c>
      <c r="D24" s="6">
        <v>0.17</v>
      </c>
      <c r="F24">
        <v>4260</v>
      </c>
      <c r="G24" s="7">
        <v>1.0073000000000001</v>
      </c>
      <c r="J24">
        <v>4800</v>
      </c>
      <c r="K24" s="5">
        <v>0.41199999999999998</v>
      </c>
      <c r="M24">
        <v>4371</v>
      </c>
      <c r="N24">
        <v>285</v>
      </c>
      <c r="O24">
        <v>806</v>
      </c>
      <c r="P24">
        <v>0.66520000000000001</v>
      </c>
      <c r="Q24">
        <v>1.4770000000000001</v>
      </c>
    </row>
    <row r="25" spans="3:18" x14ac:dyDescent="0.25">
      <c r="C25" t="s">
        <v>143</v>
      </c>
      <c r="D25" s="6">
        <v>0.64</v>
      </c>
      <c r="F25">
        <v>4161</v>
      </c>
      <c r="G25" s="7">
        <v>1.0142</v>
      </c>
      <c r="J25">
        <v>4700</v>
      </c>
      <c r="K25" s="5">
        <v>0.40899999999999997</v>
      </c>
      <c r="M25">
        <v>600</v>
      </c>
      <c r="N25">
        <v>104</v>
      </c>
      <c r="O25">
        <v>634</v>
      </c>
      <c r="P25">
        <v>0.82069999999999999</v>
      </c>
      <c r="Q25">
        <v>1.0940000000000001</v>
      </c>
      <c r="R25">
        <v>0.66</v>
      </c>
    </row>
    <row r="26" spans="3:18" x14ac:dyDescent="0.25">
      <c r="C26" t="s">
        <v>144</v>
      </c>
      <c r="D26" s="6">
        <v>0.23</v>
      </c>
      <c r="F26">
        <v>3995</v>
      </c>
      <c r="G26" s="7">
        <v>1.0269999999999999</v>
      </c>
      <c r="J26">
        <v>4600</v>
      </c>
      <c r="K26" s="5">
        <v>0.40699999999999997</v>
      </c>
      <c r="M26">
        <v>0</v>
      </c>
      <c r="N26">
        <v>60</v>
      </c>
      <c r="O26">
        <v>171</v>
      </c>
      <c r="P26">
        <v>0.86019999999999996</v>
      </c>
      <c r="R26">
        <v>1.008</v>
      </c>
    </row>
    <row r="27" spans="3:18" x14ac:dyDescent="0.25">
      <c r="C27" t="s">
        <v>24</v>
      </c>
      <c r="D27" s="6">
        <v>1.38</v>
      </c>
      <c r="F27">
        <v>3711</v>
      </c>
      <c r="G27" s="7">
        <v>1.0525</v>
      </c>
      <c r="J27">
        <v>4500</v>
      </c>
      <c r="K27" s="5">
        <v>0.40400000000000003</v>
      </c>
    </row>
    <row r="28" spans="3:18" x14ac:dyDescent="0.25">
      <c r="C28" t="s">
        <v>145</v>
      </c>
      <c r="D28" s="6">
        <v>0.23</v>
      </c>
      <c r="F28">
        <v>3271</v>
      </c>
      <c r="G28" s="7">
        <v>1.1043000000000001</v>
      </c>
      <c r="J28">
        <v>4400</v>
      </c>
      <c r="K28" s="5">
        <v>0.40200000000000002</v>
      </c>
    </row>
    <row r="29" spans="3:18" x14ac:dyDescent="0.25">
      <c r="C29" t="s">
        <v>25</v>
      </c>
      <c r="D29" s="6">
        <v>1.73</v>
      </c>
      <c r="F29">
        <v>2684</v>
      </c>
      <c r="G29" s="7">
        <v>1.2089000000000001</v>
      </c>
      <c r="J29">
        <v>4371</v>
      </c>
      <c r="K29" s="5">
        <v>0.40100000000000002</v>
      </c>
    </row>
    <row r="30" spans="3:18" x14ac:dyDescent="0.25">
      <c r="C30" t="s">
        <v>26</v>
      </c>
      <c r="D30" s="6">
        <v>1.63</v>
      </c>
      <c r="F30">
        <v>2023</v>
      </c>
      <c r="G30" s="7">
        <v>1.4201999999999999</v>
      </c>
      <c r="J30">
        <v>3700</v>
      </c>
      <c r="K30" s="5">
        <v>0.46100000000000002</v>
      </c>
    </row>
    <row r="31" spans="3:18" x14ac:dyDescent="0.25">
      <c r="C31" t="s">
        <v>27</v>
      </c>
      <c r="D31" s="6">
        <v>1.51</v>
      </c>
      <c r="F31">
        <v>1573</v>
      </c>
      <c r="G31" s="7">
        <v>1.6858</v>
      </c>
      <c r="J31">
        <v>2700</v>
      </c>
      <c r="K31" s="5">
        <v>0.56599999999999995</v>
      </c>
    </row>
    <row r="32" spans="3:18" x14ac:dyDescent="0.25">
      <c r="C32" t="s">
        <v>28</v>
      </c>
      <c r="D32" s="6">
        <v>1.6</v>
      </c>
      <c r="F32">
        <v>1195</v>
      </c>
      <c r="G32" s="7">
        <v>2.0836000000000001</v>
      </c>
      <c r="J32">
        <v>1700</v>
      </c>
      <c r="K32" s="5">
        <v>0.7</v>
      </c>
    </row>
    <row r="33" spans="1:11" x14ac:dyDescent="0.25">
      <c r="C33" t="s">
        <v>29</v>
      </c>
      <c r="D33" s="6">
        <v>1.41</v>
      </c>
      <c r="F33">
        <v>865</v>
      </c>
      <c r="G33" s="7">
        <v>2.7381000000000002</v>
      </c>
      <c r="J33">
        <v>1000</v>
      </c>
      <c r="K33" s="5">
        <v>0.82399999999999995</v>
      </c>
    </row>
    <row r="34" spans="1:11" x14ac:dyDescent="0.25">
      <c r="C34" t="s">
        <v>30</v>
      </c>
      <c r="D34" s="6">
        <v>1.55</v>
      </c>
      <c r="J34">
        <v>500</v>
      </c>
      <c r="K34" s="5">
        <v>0.94699999999999995</v>
      </c>
    </row>
    <row r="35" spans="1:11" x14ac:dyDescent="0.25">
      <c r="C35" t="s">
        <v>31</v>
      </c>
      <c r="D35" s="6">
        <v>1.26</v>
      </c>
      <c r="J35">
        <v>200</v>
      </c>
      <c r="K35" s="5">
        <v>1.0580000000000001</v>
      </c>
    </row>
    <row r="36" spans="1:11" x14ac:dyDescent="0.25">
      <c r="A36" t="s">
        <v>150</v>
      </c>
      <c r="C36" s="20" t="s">
        <v>146</v>
      </c>
      <c r="D36" s="6">
        <v>1.1200000000000001</v>
      </c>
      <c r="J36">
        <v>0</v>
      </c>
      <c r="K36" s="5">
        <v>1.2569999999999999</v>
      </c>
    </row>
    <row r="37" spans="1:11" x14ac:dyDescent="0.25">
      <c r="C37" t="s">
        <v>33</v>
      </c>
      <c r="D37" s="6">
        <v>1.1100000000000001</v>
      </c>
    </row>
    <row r="38" spans="1:11" x14ac:dyDescent="0.25">
      <c r="C38" t="s">
        <v>34</v>
      </c>
      <c r="D38" s="6">
        <v>1.02</v>
      </c>
    </row>
    <row r="39" spans="1:11" x14ac:dyDescent="0.25">
      <c r="C39" t="s">
        <v>35</v>
      </c>
      <c r="D39" s="6">
        <v>0.88</v>
      </c>
    </row>
    <row r="40" spans="1:11" x14ac:dyDescent="0.25">
      <c r="C40" t="s">
        <v>36</v>
      </c>
      <c r="D40" s="6">
        <v>0.8</v>
      </c>
    </row>
    <row r="41" spans="1:11" x14ac:dyDescent="0.25">
      <c r="C41" t="s">
        <v>37</v>
      </c>
      <c r="D41" s="6">
        <v>0.72</v>
      </c>
    </row>
    <row r="42" spans="1:11" x14ac:dyDescent="0.25">
      <c r="C42" t="s">
        <v>38</v>
      </c>
      <c r="D42" s="6">
        <v>0.66</v>
      </c>
    </row>
    <row r="43" spans="1:11" x14ac:dyDescent="0.25">
      <c r="C43" t="s">
        <v>39</v>
      </c>
      <c r="D43" s="6">
        <v>0.6</v>
      </c>
    </row>
    <row r="44" spans="1:11" x14ac:dyDescent="0.25">
      <c r="C44" t="s">
        <v>40</v>
      </c>
      <c r="D44" s="6">
        <v>0.56000000000000005</v>
      </c>
    </row>
    <row r="45" spans="1:11" x14ac:dyDescent="0.25">
      <c r="C45" t="s">
        <v>41</v>
      </c>
      <c r="D45" s="6">
        <v>0.51</v>
      </c>
    </row>
    <row r="46" spans="1:11" x14ac:dyDescent="0.25">
      <c r="C46" t="s">
        <v>42</v>
      </c>
      <c r="D46" s="6">
        <v>0.46</v>
      </c>
    </row>
    <row r="47" spans="1:11" x14ac:dyDescent="0.25">
      <c r="C47" t="s">
        <v>43</v>
      </c>
      <c r="D47" s="6">
        <v>0.42</v>
      </c>
    </row>
    <row r="48" spans="1:11" x14ac:dyDescent="0.25">
      <c r="C48" t="s">
        <v>44</v>
      </c>
      <c r="D48" s="6">
        <v>0.42</v>
      </c>
    </row>
    <row r="49" spans="3:4" x14ac:dyDescent="0.25">
      <c r="C49" t="s">
        <v>45</v>
      </c>
      <c r="D49" s="6">
        <v>0.37</v>
      </c>
    </row>
    <row r="50" spans="3:4" x14ac:dyDescent="0.25">
      <c r="C50" t="s">
        <v>46</v>
      </c>
      <c r="D50" s="6">
        <v>0.36</v>
      </c>
    </row>
    <row r="51" spans="3:4" x14ac:dyDescent="0.25">
      <c r="C51" t="s">
        <v>47</v>
      </c>
      <c r="D51" s="6">
        <v>0.31</v>
      </c>
    </row>
    <row r="52" spans="3:4" x14ac:dyDescent="0.25">
      <c r="C52" t="s">
        <v>48</v>
      </c>
      <c r="D52" s="6">
        <v>0.28999999999999998</v>
      </c>
    </row>
    <row r="53" spans="3:4" x14ac:dyDescent="0.25">
      <c r="C53" t="s">
        <v>49</v>
      </c>
      <c r="D53" s="6">
        <v>0.27</v>
      </c>
    </row>
    <row r="54" spans="3:4" x14ac:dyDescent="0.25">
      <c r="C54" t="s">
        <v>50</v>
      </c>
      <c r="D54" s="6">
        <v>0.24</v>
      </c>
    </row>
    <row r="55" spans="3:4" x14ac:dyDescent="0.25">
      <c r="C55" t="s">
        <v>147</v>
      </c>
      <c r="D55" s="6">
        <v>2.4300000000000002</v>
      </c>
    </row>
    <row r="57" spans="3:4" x14ac:dyDescent="0.25">
      <c r="D57" s="6">
        <f>SUM(D4:D56)</f>
        <v>99.999999999999986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Master</vt:lpstr>
      <vt:lpstr>Exp-Sum</vt:lpstr>
      <vt:lpstr>OIL-DLE-1</vt:lpstr>
      <vt:lpstr>OIL-CCE-1</vt:lpstr>
      <vt:lpstr>OIL-SEP-1</vt:lpstr>
      <vt:lpstr>OIL-SEP-2</vt:lpstr>
      <vt:lpstr>OIL-DLE-2</vt:lpstr>
      <vt:lpstr>Samp-Sum</vt:lpstr>
      <vt:lpstr>OIL</vt:lpstr>
      <vt:lpstr>srfwork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Furnival</dc:creator>
  <cp:lastModifiedBy>Steve Furnival</cp:lastModifiedBy>
  <dcterms:created xsi:type="dcterms:W3CDTF">2015-06-05T18:19:34Z</dcterms:created>
  <dcterms:modified xsi:type="dcterms:W3CDTF">2019-05-13T17:28:25Z</dcterms:modified>
</cp:coreProperties>
</file>